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Hạng mục công việc" sheetId="2" state="visible" r:id="rId2"/>
    <sheet name="Cơ sở kế hoạch" sheetId="3" state="visible" r:id="rId3"/>
    <sheet name="Ánh xạ kiến trúc" sheetId="4" state="visible" r:id="rId4"/>
    <sheet name="Tải theo người" sheetId="5" state="visible" r:id="rId5"/>
    <sheet name="Mốc và phụ thuộc" sheetId="6" state="visible" r:id="rId6"/>
    <sheet name="Nguồn và quy ước" sheetId="7" state="visible" r:id="rId7"/>
  </sheets>
  <definedNames>
    <definedName name="_xlnm._FilterDatabase" localSheetId="1" hidden="1">'Hạng mục công việc'!$A$3:$S$94</definedName>
    <definedName name="_xlnm.Print_Titles" localSheetId="1">'Hạng mục công việc'!$3:$3</definedName>
    <definedName name="_xlnm._FilterDatabase" localSheetId="3" hidden="1">'Ánh xạ kiến trúc'!$A$3:$G$30</definedName>
    <definedName name="_xlnm.Print_Titles" localSheetId="3">'Ánh xạ kiến trúc'!$3:$3</definedName>
    <definedName name="_xlnm.Print_Titles" localSheetId="4">'Tải theo người'!$3:$3</definedName>
  </definedNames>
  <calcPr calcId="124519" fullCalcOnLoad="1"/>
</workbook>
</file>

<file path=xl/styles.xml><?xml version="1.0" encoding="utf-8"?>
<styleSheet xmlns="http://schemas.openxmlformats.org/spreadsheetml/2006/main">
  <numFmts count="2">
    <numFmt numFmtId="164" formatCode="0.0"/>
    <numFmt numFmtId="165" formatCode="0.00;[Red]-0.00"/>
  </numFmts>
  <fonts count="11">
    <font>
      <name val="Calibri"/>
      <family val="2"/>
      <color theme="1"/>
      <sz val="11"/>
      <scheme val="minor"/>
    </font>
    <font>
      <b val="1"/>
      <sz val="10"/>
    </font>
    <font>
      <sz val="10"/>
    </font>
    <font>
      <b val="1"/>
      <color rgb="00FFFFFF"/>
      <sz val="11"/>
    </font>
    <font>
      <b val="1"/>
      <color rgb="001F3864"/>
      <sz val="14"/>
    </font>
    <font>
      <i val="1"/>
      <color rgb="00595959"/>
      <sz val="9"/>
    </font>
    <font>
      <b val="1"/>
      <color rgb="00FFFFFF"/>
      <sz val="10"/>
    </font>
    <font>
      <b val="1"/>
      <color rgb="00C00000"/>
      <sz val="10"/>
    </font>
    <font>
      <b val="1"/>
      <color rgb="001F3864"/>
      <sz val="18"/>
    </font>
    <font>
      <b val="1"/>
      <color rgb="00000000"/>
      <sz val="10"/>
    </font>
    <font>
      <i val="1"/>
      <color rgb="00C00000"/>
      <sz val="10"/>
    </font>
  </fonts>
  <fills count="19">
    <fill>
      <patternFill/>
    </fill>
    <fill>
      <patternFill patternType="gray125"/>
    </fill>
    <fill>
      <patternFill patternType="solid">
        <fgColor rgb="00DCE6F1"/>
      </patternFill>
    </fill>
    <fill>
      <patternFill patternType="solid">
        <fgColor rgb="00E2EFDA"/>
      </patternFill>
    </fill>
    <fill>
      <patternFill patternType="solid">
        <fgColor rgb="00FFE699"/>
      </patternFill>
    </fill>
    <fill>
      <patternFill patternType="solid">
        <fgColor rgb="00F2F2F2"/>
      </patternFill>
    </fill>
    <fill>
      <patternFill patternType="solid">
        <fgColor rgb="00C6E0B4"/>
      </patternFill>
    </fill>
    <fill>
      <patternFill patternType="solid">
        <fgColor rgb="00FFF2CC"/>
      </patternFill>
    </fill>
    <fill>
      <patternFill patternType="solid">
        <fgColor rgb="007F7F7F"/>
      </patternFill>
    </fill>
    <fill>
      <patternFill patternType="solid">
        <fgColor rgb="001F3864"/>
      </patternFill>
    </fill>
    <fill>
      <patternFill patternType="solid">
        <fgColor rgb="00FBE5D6"/>
      </patternFill>
    </fill>
    <fill>
      <patternFill patternType="solid">
        <fgColor rgb="00C00000"/>
      </patternFill>
    </fill>
    <fill>
      <patternFill patternType="solid">
        <fgColor rgb="00FCE4D6"/>
      </patternFill>
    </fill>
    <fill>
      <patternFill patternType="solid">
        <fgColor rgb="00D9E1F2"/>
      </patternFill>
    </fill>
    <fill>
      <patternFill patternType="solid">
        <fgColor rgb="00DDEBF7"/>
      </patternFill>
    </fill>
    <fill>
      <patternFill patternType="solid">
        <fgColor rgb="00EDEDED"/>
      </patternFill>
    </fill>
    <fill>
      <patternFill patternType="solid">
        <fgColor rgb="00F2DCDB"/>
      </patternFill>
    </fill>
    <fill>
      <patternFill patternType="solid">
        <fgColor rgb="00D6DCE4"/>
      </patternFill>
    </fill>
    <fill>
      <patternFill patternType="solid">
        <fgColor rgb="00E4DFE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4">
    <xf numFmtId="0" fontId="0" fillId="0" borderId="0" pivotButton="0" quotePrefix="0" xfId="0"/>
    <xf numFmtId="0" fontId="8" fillId="0" borderId="0" applyAlignment="1" pivotButton="0" quotePrefix="0" xfId="0">
      <alignment vertical="top" wrapText="1"/>
    </xf>
    <xf numFmtId="0" fontId="5" fillId="0" borderId="0" applyAlignment="1" pivotButton="0" quotePrefix="0" xfId="0">
      <alignment vertical="top" wrapText="1"/>
    </xf>
    <xf numFmtId="0" fontId="3" fillId="9" borderId="0" pivotButton="0" quotePrefix="0" xfId="0"/>
    <xf numFmtId="0" fontId="2" fillId="0" borderId="1" applyAlignment="1" pivotButton="0" quotePrefix="0" xfId="0">
      <alignment vertical="top" wrapText="1"/>
    </xf>
    <xf numFmtId="1" fontId="9" fillId="0" borderId="1" applyAlignment="1" pivotButton="0" quotePrefix="0" xfId="0">
      <alignment horizontal="center" vertical="center" wrapText="1"/>
    </xf>
    <xf numFmtId="0" fontId="1" fillId="0" borderId="1" applyAlignment="1" pivotButton="0" quotePrefix="0" xfId="0">
      <alignment vertical="top" wrapText="1"/>
    </xf>
    <xf numFmtId="2" fontId="7" fillId="0" borderId="1" applyAlignment="1" pivotButton="0" quotePrefix="0" xfId="0">
      <alignment horizontal="center" vertical="center" wrapText="1"/>
    </xf>
    <xf numFmtId="2" fontId="9" fillId="0" borderId="1" applyAlignment="1" pivotButton="0" quotePrefix="0" xfId="0">
      <alignment horizontal="center" vertical="center" wrapText="1"/>
    </xf>
    <xf numFmtId="0" fontId="3" fillId="11" borderId="0" pivotButton="0" quotePrefix="0" xfId="0"/>
    <xf numFmtId="164" fontId="9" fillId="0" borderId="1" applyAlignment="1" pivotButton="0" quotePrefix="0" xfId="0">
      <alignment horizontal="center" vertical="center" wrapText="1"/>
    </xf>
    <xf numFmtId="9" fontId="9" fillId="0" borderId="1" applyAlignment="1" pivotButton="0" quotePrefix="0" xfId="0">
      <alignment horizontal="center" vertical="center" wrapText="1"/>
    </xf>
    <xf numFmtId="9" fontId="7" fillId="0" borderId="1" pivotButton="0" quotePrefix="0" xfId="0"/>
    <xf numFmtId="0" fontId="10" fillId="0" borderId="0" applyAlignment="1" pivotButton="0" quotePrefix="0" xfId="0">
      <alignment vertical="top" wrapText="1"/>
    </xf>
    <xf numFmtId="0" fontId="4" fillId="0" borderId="0" applyAlignment="1" pivotButton="0" quotePrefix="0" xfId="0">
      <alignment vertical="top" wrapText="1"/>
    </xf>
    <xf numFmtId="0" fontId="6" fillId="9"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1" applyAlignment="1" pivotButton="0" quotePrefix="0" xfId="0">
      <alignment vertical="top" wrapText="1"/>
    </xf>
    <xf numFmtId="0" fontId="1" fillId="3" borderId="1" applyAlignment="1" pivotButton="0" quotePrefix="0" xfId="0">
      <alignment horizontal="center" vertical="center" wrapText="1"/>
    </xf>
    <xf numFmtId="2"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2" fontId="2" fillId="0"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7" borderId="1" applyAlignment="1" pivotButton="0" quotePrefix="0" xfId="0">
      <alignment horizontal="center" vertical="center" wrapText="1"/>
    </xf>
    <xf numFmtId="0" fontId="1" fillId="5" borderId="1" applyAlignment="1" pivotButton="0" quotePrefix="0" xfId="0">
      <alignment horizontal="center" vertical="center" wrapText="1"/>
    </xf>
    <xf numFmtId="0" fontId="3" fillId="8" borderId="0" pivotButton="0" quotePrefix="0" xfId="0"/>
    <xf numFmtId="1"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1" fillId="0" borderId="1" pivotButton="0" quotePrefix="0" xfId="0"/>
    <xf numFmtId="0" fontId="0" fillId="0" borderId="1" pivotButton="0" quotePrefix="0" xfId="0"/>
    <xf numFmtId="164" fontId="1" fillId="2" borderId="1" pivotButton="0" quotePrefix="0" xfId="0"/>
    <xf numFmtId="0" fontId="5" fillId="0" borderId="1" pivotButton="0" quotePrefix="0" xfId="0"/>
    <xf numFmtId="0" fontId="1"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1"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0" fillId="2" borderId="1" applyAlignment="1" pivotButton="0" quotePrefix="0" xfId="0">
      <alignment horizontal="center" vertical="center" wrapText="1"/>
    </xf>
    <xf numFmtId="165" fontId="1" fillId="2" borderId="1" applyAlignment="1" pivotButton="0" quotePrefix="0" xfId="0">
      <alignment horizontal="center" vertical="center" wrapText="1"/>
    </xf>
    <xf numFmtId="0" fontId="1" fillId="0" borderId="0" pivotButton="0" quotePrefix="0" xfId="0"/>
    <xf numFmtId="0" fontId="5" fillId="0" borderId="0" pivotButton="0" quotePrefix="0" xfId="0"/>
    <xf numFmtId="0" fontId="7" fillId="0" borderId="0" pivotButton="0" quotePrefix="0" xfId="0"/>
    <xf numFmtId="165" fontId="7" fillId="0" borderId="1" applyAlignment="1" pivotButton="0" quotePrefix="0" xfId="0">
      <alignment horizontal="center" vertical="center" wrapText="1"/>
    </xf>
    <xf numFmtId="9" fontId="1" fillId="0"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7"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18" borderId="1" applyAlignment="1" pivotButton="0" quotePrefix="0" xfId="0">
      <alignment horizontal="center" vertical="center" wrapText="1"/>
    </xf>
    <xf numFmtId="0" fontId="1" fillId="2" borderId="1" pivotButton="0" quotePrefix="0" xfId="0"/>
    <xf numFmtId="0" fontId="0" fillId="2" borderId="1" pivotButton="0" quotePrefix="0" xfId="0"/>
    <xf numFmtId="0" fontId="1" fillId="10" borderId="1" applyAlignment="1" pivotButton="0" quotePrefix="0" xfId="0">
      <alignment vertical="top" wrapText="1"/>
    </xf>
    <xf numFmtId="0" fontId="2" fillId="0" borderId="0" applyAlignment="1" pivotButton="0" quotePrefix="0" xfId="0">
      <alignment vertical="top" wrapText="1"/>
    </xf>
    <xf numFmtId="0" fontId="5" fillId="0" borderId="1" applyAlignment="1" pivotButton="0" quotePrefix="0" xfId="0">
      <alignment vertical="top" wrapText="1"/>
    </xf>
    <xf numFmtId="0" fontId="2" fillId="0" borderId="1" pivotButton="0" quotePrefix="0" xfId="0"/>
  </cellXfs>
  <cellStyles count="1">
    <cellStyle name="Normal" xfId="0" builtinId="0" hidden="0"/>
  </cellStyles>
  <dxfs count="5">
    <dxf>
      <fill>
        <patternFill patternType="solid">
          <fgColor rgb="00C6E0B4"/>
        </patternFill>
      </fill>
    </dxf>
    <dxf>
      <fill>
        <patternFill patternType="solid">
          <fgColor rgb="00FFE699"/>
        </patternFill>
      </fill>
    </dxf>
    <dxf>
      <fill>
        <patternFill patternType="solid">
          <fgColor rgb="00F2F2F2"/>
        </patternFill>
      </fill>
    </dxf>
    <dxf>
      <fill>
        <patternFill patternType="solid">
          <fgColor rgb="00F8CBAD"/>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fitToPage="1"/>
  </sheetPr>
  <dimension ref="A1:F39"/>
  <sheetViews>
    <sheetView showGridLines="0" workbookViewId="0">
      <selection activeCell="A1" sqref="A1"/>
    </sheetView>
  </sheetViews>
  <sheetFormatPr baseColWidth="8" defaultRowHeight="15"/>
  <cols>
    <col width="46" customWidth="1" min="1" max="1"/>
    <col width="14" customWidth="1" min="2" max="2"/>
    <col width="14" customWidth="1" min="3" max="3"/>
    <col width="16" customWidth="1" min="4" max="4"/>
    <col width="14" customWidth="1" min="5" max="5"/>
    <col width="24" customWidth="1" min="6" max="6"/>
  </cols>
  <sheetData>
    <row r="1" ht="26" customHeight="1">
      <c r="A1" s="1" t="inlineStr">
        <is>
          <t>TransVidCloud — Báo cáo kế hoạch hành động</t>
        </is>
      </c>
    </row>
    <row r="2" ht="32" customHeight="1">
      <c r="A2" s="2" t="inlineStr">
        <is>
          <t>Bảng hạng mục công việc phải làm theo kế hoạch đã sửa (A01–A13): mỗi hạng mục có minh giải vị trí trong kiến trúc hệ thống, ước tính nỗ lực (person-day) và người chịu trách nhiệm.</t>
        </is>
      </c>
    </row>
    <row r="4">
      <c r="A4" s="3" t="inlineStr">
        <is>
          <t>KẾ HOẠCH HIỆN HÀNH (bảng 3.2 — bản sửa 27/10)</t>
        </is>
      </c>
    </row>
    <row r="5">
      <c r="A5" s="4" t="inlineStr">
        <is>
          <t>Hạng mục cấp kế hoạch (EPIC A01–A13)</t>
        </is>
      </c>
      <c r="D5" s="5">
        <f>COUNTIF('Hạng mục công việc'!$C$4:$C$94,"EPIC")</f>
        <v/>
      </c>
    </row>
    <row r="6">
      <c r="A6" s="4" t="inlineStr">
        <is>
          <t>Nhiệm vụ chi tiết bóc từ các hạng mục</t>
        </is>
      </c>
      <c r="D6" s="5">
        <f>COUNTIF('Hạng mục công việc'!$C$4:$C$94,"TASK")</f>
        <v/>
      </c>
    </row>
    <row r="7">
      <c r="A7" s="4" t="inlineStr">
        <is>
          <t>Dòng P1 / tùy chọn (ngoài tổng)</t>
        </is>
      </c>
      <c r="D7" s="5">
        <f>COUNTIF('Hạng mục công việc'!$C$4:$C$94,"P1")</f>
        <v/>
      </c>
    </row>
    <row r="8">
      <c r="A8" s="6" t="inlineStr">
        <is>
          <t>TỔNG EFFORT KẾ HOẠCH (pd)</t>
        </is>
      </c>
      <c r="D8" s="7">
        <f>SUMIFS('Hạng mục công việc'!$N$4:$N$94,'Hạng mục công việc'!$C$4:$C$94,"EPIC")</f>
        <v/>
      </c>
    </row>
    <row r="9">
      <c r="A9" s="4" t="inlineStr">
        <is>
          <t>Effort P1 / tùy chọn (pd, không tính vào tổng)</t>
        </is>
      </c>
      <c r="D9" s="8">
        <f>SUMIFS('Hạng mục công việc'!$N$4:$N$94,'Hạng mục công việc'!$C$4:$C$94,"P1")</f>
        <v/>
      </c>
    </row>
    <row r="10">
      <c r="A10" s="4" t="inlineStr">
        <is>
          <t>Hạng mục High (bắt buộc, nằm trên đường găng)</t>
        </is>
      </c>
      <c r="D10" s="5">
        <f>COUNTIFS('Hạng mục công việc'!$C$4:$C$94,"EPIC",'Hạng mục công việc'!$M$4:$M$94,"High")</f>
        <v/>
      </c>
    </row>
    <row r="11">
      <c r="A11" s="4" t="inlineStr">
        <is>
          <t>Hạng mục Medium (nên làm nếu còn capacity)</t>
        </is>
      </c>
      <c r="D11" s="5">
        <f>COUNTIFS('Hạng mục công việc'!$C$4:$C$94,"EPIC",'Hạng mục công việc'!$M$4:$M$94,"Medium")</f>
        <v/>
      </c>
    </row>
    <row r="13">
      <c r="A13" s="9" t="inlineStr">
        <is>
          <t>CÂN ĐỐI VỚI CAPACITY (4 người × 2,5 ngày × 4 tuần = 40 pd)</t>
        </is>
      </c>
    </row>
    <row r="14">
      <c r="A14" s="4" t="inlineStr">
        <is>
          <t>Capacity sử dụng theo kế hoạch (pd)</t>
        </is>
      </c>
      <c r="D14" s="10" t="n">
        <v>40</v>
      </c>
    </row>
    <row r="15">
      <c r="A15" s="4" t="inlineStr">
        <is>
          <t>Capacity khi cả nhóm làm 3 ngày/tuần (pd)</t>
        </is>
      </c>
      <c r="D15" s="10" t="n">
        <v>48</v>
      </c>
    </row>
    <row r="16">
      <c r="A16" s="4" t="inlineStr">
        <is>
          <t>Tổng kế hoạch từ cột Effort (pd)</t>
        </is>
      </c>
      <c r="D16" s="8">
        <f>SUMIFS('Hạng mục công việc'!$N$4:$N$94,'Hạng mục công việc'!$C$4:$C$94,"EPIC")</f>
        <v/>
      </c>
    </row>
    <row r="17">
      <c r="A17" s="4" t="inlineStr">
        <is>
          <t>Tỷ lệ so với capacity kế hoạch</t>
        </is>
      </c>
      <c r="D17" s="11">
        <f>$D$16/$D$14</f>
        <v/>
      </c>
    </row>
    <row r="18">
      <c r="A18" s="4" t="inlineStr">
        <is>
          <t>Đệm còn lại cho rủi ro (pd)</t>
        </is>
      </c>
      <c r="D18" s="7">
        <f>$D$14-$D$16</f>
        <v/>
      </c>
    </row>
    <row r="19">
      <c r="A19" s="4" t="inlineStr">
        <is>
          <t>Tải nếu làm hết phần P1/tùy chọn (pd)</t>
        </is>
      </c>
      <c r="D19" s="8">
        <f>$D$16+$D$9</f>
        <v/>
      </c>
    </row>
    <row r="20">
      <c r="A20" s="4" t="inlineStr">
        <is>
          <t>Effort trung bình mỗi người (pd, 4 người)</t>
        </is>
      </c>
      <c r="D20" s="8">
        <f>$D$16/4</f>
        <v/>
      </c>
    </row>
    <row r="21">
      <c r="A21" s="4" t="inlineStr">
        <is>
          <t>Tải trung bình mỗi sprint (pd, 4 sprint)</t>
        </is>
      </c>
      <c r="D21" s="8">
        <f>$D$16/4</f>
        <v/>
      </c>
    </row>
    <row r="22">
      <c r="A22" s="4" t="inlineStr">
        <is>
          <t>Tỷ lệ nếu làm hết P1 so với capacity 3 ngày/tuần</t>
        </is>
      </c>
      <c r="D22" s="11">
        <f>($D$16+$D$9)/$D$15</f>
        <v/>
      </c>
    </row>
    <row r="24">
      <c r="A24" s="3" t="inlineStr">
        <is>
          <t>TẢI THEO SPRINT (ô cột E là % capacity; chi tiết ở sheet 'Cơ sở kế hoạch')</t>
        </is>
      </c>
    </row>
    <row r="25">
      <c r="A25" s="4" t="inlineStr">
        <is>
          <t>Sprint 1 — pd phân bổ</t>
        </is>
      </c>
      <c r="D25" s="8">
        <f>'Cơ sở kế hoạch'!E35</f>
        <v/>
      </c>
      <c r="E25" s="12">
        <f>'Cơ sở kế hoạch'!E38</f>
        <v/>
      </c>
    </row>
    <row r="26">
      <c r="A26" s="4" t="inlineStr">
        <is>
          <t>Sprint 2 — pd phân bổ</t>
        </is>
      </c>
      <c r="D26" s="8">
        <f>'Cơ sở kế hoạch'!F35</f>
        <v/>
      </c>
      <c r="E26" s="12">
        <f>'Cơ sở kế hoạch'!F38</f>
        <v/>
      </c>
    </row>
    <row r="27">
      <c r="A27" s="4" t="inlineStr">
        <is>
          <t>Sprint 3 — pd phân bổ</t>
        </is>
      </c>
      <c r="D27" s="8">
        <f>'Cơ sở kế hoạch'!G35</f>
        <v/>
      </c>
      <c r="E27" s="12">
        <f>'Cơ sở kế hoạch'!G38</f>
        <v/>
      </c>
    </row>
    <row r="28">
      <c r="A28" s="4" t="inlineStr">
        <is>
          <t>Sprint 4 — pd phân bổ</t>
        </is>
      </c>
      <c r="D28" s="8">
        <f>'Cơ sở kế hoạch'!H35</f>
        <v/>
      </c>
      <c r="E28" s="12">
        <f>'Cơ sở kế hoạch'!H38</f>
        <v/>
      </c>
    </row>
    <row r="29">
      <c r="A29" s="4" t="inlineStr">
        <is>
          <t>Dự phòng — pd phân bổ</t>
        </is>
      </c>
      <c r="D29" s="8">
        <f>'Cơ sở kế hoạch'!I35</f>
        <v/>
      </c>
      <c r="E29" s="12">
        <f>'Cơ sở kế hoạch'!I38</f>
        <v/>
      </c>
    </row>
    <row r="31">
      <c r="A31" s="3" t="inlineStr">
        <is>
          <t>TRẠNG THÁI THEO BẰNG CHỨNG TRONG REPO</t>
        </is>
      </c>
    </row>
    <row r="32">
      <c r="A32" s="4" t="inlineStr">
        <is>
          <t>Nhiệm vụ đã xong (✅ có bằng chứng)</t>
        </is>
      </c>
      <c r="D32" s="5">
        <f>COUNTIF('Hạng mục công việc'!$Q$4:$Q$94,"✅*")</f>
        <v/>
      </c>
    </row>
    <row r="33">
      <c r="A33" s="4" t="inlineStr">
        <is>
          <t>Đang làm / có khung / còn DRAFT (⭕)</t>
        </is>
      </c>
      <c r="D33" s="5">
        <f>COUNTIF('Hạng mục công việc'!$Q$4:$Q$94,"⭕*")</f>
        <v/>
      </c>
    </row>
    <row r="34">
      <c r="A34" s="4" t="inlineStr">
        <is>
          <t>Chưa có trong repo (❌)</t>
        </is>
      </c>
      <c r="D34" s="5">
        <f>COUNTIF('Hạng mục công việc'!$Q$4:$Q$94,"❌*")</f>
        <v/>
      </c>
    </row>
    <row r="35">
      <c r="A35" s="4" t="inlineStr">
        <is>
          <t>Chưa tới hạn / ngoài cam kết (⚪, ⛔)</t>
        </is>
      </c>
      <c r="D35" s="5">
        <f>COUNTIF('Hạng mục công việc'!$Q$4:$Q$94,"⚪*")+COUNTIF('Hạng mục công việc'!$Q$4:$Q$94,"⛔*")</f>
        <v/>
      </c>
    </row>
    <row r="37">
      <c r="A37" s="13" t="inlineStr">
        <is>
          <t>Đọc nhanh: 36 pd = 90% capacity 40 pd, mỗi người đúng 9,0/10,0 pd — cân đối theo người là tốt, nhưng phân bổ theo sprint dồn ~13 pd vào sprint 2 (capacity 10 pd) và chỉ còn ~4 pd đệm cho rủi ro backend (A02). Đường găng: A01 → A02/A03 → A10 → A13, song song là chuỗi cloud A07 → A08 → A06 → A09. Sáu điểm cần rà nằm ở sheet 'Mốc và phụ thuộc'.</t>
        </is>
      </c>
    </row>
    <row r="38"/>
    <row r="39"/>
  </sheetData>
  <mergeCells count="7">
    <mergeCell ref="A24:F24"/>
    <mergeCell ref="A2:F2"/>
    <mergeCell ref="A37:F39"/>
    <mergeCell ref="A13:F13"/>
    <mergeCell ref="A1:F1"/>
    <mergeCell ref="A31:F31"/>
    <mergeCell ref="A4:F4"/>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1F3864"/>
    <outlinePr summaryBelow="1" summaryRight="1"/>
    <pageSetUpPr fitToPage="1"/>
  </sheetPr>
  <dimension ref="A1:S94"/>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7" customWidth="1" min="3" max="3"/>
    <col width="32" customWidth="1" min="4" max="4"/>
    <col width="17" customWidth="1" min="5" max="5"/>
    <col width="50" customWidth="1" min="6" max="6"/>
    <col width="17" customWidth="1" min="7" max="7"/>
    <col width="28" customWidth="1" min="8" max="8"/>
    <col width="11" customWidth="1" min="9" max="9"/>
    <col width="58" customWidth="1" min="10" max="10"/>
    <col width="26" customWidth="1" min="11" max="11"/>
    <col width="12" customWidth="1" min="12" max="12"/>
    <col width="9" customWidth="1" min="13" max="13"/>
    <col width="10" customWidth="1" min="14" max="14"/>
    <col width="18" customWidth="1" min="15" max="15"/>
    <col width="16" customWidth="1" min="16" max="16"/>
    <col width="32" customWidth="1" min="17" max="17"/>
    <col width="36" customWidth="1" min="18" max="18"/>
    <col width="34" customWidth="1" min="19" max="19"/>
  </cols>
  <sheetData>
    <row r="1" ht="22" customHeight="1">
      <c r="A1" s="14" t="inlineStr">
        <is>
          <t>BẢNG HẠNG MỤC CÔNG VIỆC PHẢI LÀM (ACTION PLAN) — TransVidCloud · kế hoạch A01–A13</t>
        </is>
      </c>
    </row>
    <row r="2" ht="30" customHeight="1">
      <c r="A2" s="2" t="inlineStr">
        <is>
          <t>13 hạng mục, tổng 36 pd (chưa tính 3,5 pd P1/tùy chọn), bóc thành nhiệm vụ chi tiết · cột 'Kiến trúc liên quan [n]' tham chiếu bảng 15 giao diện của mục kiến trúc triển khai · cột 'Minh giải' đặt từng hạng mục vào vị trí kiến trúc và nêu ảnh hưởng khi nó thay đổi · effort là person-day tính cho phần việc còn lại (hiện trạng repo rà soát 27/10), chỉ ghi ở cấp hạng mục để không trùng lặp với nhiệm vụ</t>
        </is>
      </c>
    </row>
    <row r="3" ht="48" customHeight="1">
      <c r="A3" s="15" t="inlineStr">
        <is>
          <t>STT</t>
        </is>
      </c>
      <c r="B3" s="15" t="inlineStr">
        <is>
          <t>Mã</t>
        </is>
      </c>
      <c r="C3" s="15" t="inlineStr">
        <is>
          <t>Cấp</t>
        </is>
      </c>
      <c r="D3" s="15" t="inlineStr">
        <is>
          <t>Công việc / hạng mục</t>
        </is>
      </c>
      <c r="E3" s="15" t="inlineStr">
        <is>
          <t>Kiến trúc liên quan [n]</t>
        </is>
      </c>
      <c r="F3" s="15" t="inlineStr">
        <is>
          <t>Nội dung / tiêu chí hoàn thành</t>
        </is>
      </c>
      <c r="G3" s="15" t="inlineStr">
        <is>
          <t>Tầng kiến trúc</t>
        </is>
      </c>
      <c r="H3" s="15" t="inlineStr">
        <is>
          <t>Thành phần / dịch vụ liên quan</t>
        </is>
      </c>
      <c r="I3" s="15" t="inlineStr">
        <is>
          <t>Module chức năng (SRS §26)</t>
        </is>
      </c>
      <c r="J3" s="15" t="inlineStr">
        <is>
          <t>Minh giải: vị trí và ảnh hưởng trong kiến trúc</t>
        </is>
      </c>
      <c r="K3" s="15" t="inlineStr">
        <is>
          <t>Hợp đồng / nguồn sự thật</t>
        </is>
      </c>
      <c r="L3" s="15" t="inlineStr">
        <is>
          <t>Sprint</t>
        </is>
      </c>
      <c r="M3" s="15" t="inlineStr">
        <is>
          <t>Ưu tiên</t>
        </is>
      </c>
      <c r="N3" s="15" t="inlineStr">
        <is>
          <t>Effort còn lại (pd)</t>
        </is>
      </c>
      <c r="O3" s="15" t="inlineStr">
        <is>
          <t>Người chịu trách nhiệm</t>
        </is>
      </c>
      <c r="P3" s="15" t="inlineStr">
        <is>
          <t>Phối hợp</t>
        </is>
      </c>
      <c r="Q3" s="15" t="inlineStr">
        <is>
          <t>Trạng thái (bằng chứng trong repo)</t>
        </is>
      </c>
      <c r="R3" s="15" t="inlineStr">
        <is>
          <t>Phụ thuộc / rủi ro</t>
        </is>
      </c>
      <c r="S3" s="15" t="inlineStr">
        <is>
          <t>Nguồn tài liệu</t>
        </is>
      </c>
    </row>
    <row r="4">
      <c r="A4" s="16" t="n">
        <v>1</v>
      </c>
      <c r="B4" s="16" t="inlineStr">
        <is>
          <t>A01</t>
        </is>
      </c>
      <c r="C4" s="16" t="inlineStr">
        <is>
          <t>EPIC</t>
        </is>
      </c>
      <c r="D4" s="17" t="inlineStr">
        <is>
          <t>Chốt kiến trúc và khung dự án</t>
        </is>
      </c>
      <c r="E4" s="16" t="inlineStr">
        <is>
          <t>Toàn bộ kiến trúc</t>
        </is>
      </c>
      <c r="F4" s="17" t="inlineStr">
        <is>
          <t>Bỏ nhãn DRAFT cho 6 file trong docs/contracts/ + openapi.yaml đủ endpoint luồng chính; khung backend/ (Spring Boot) và worker/ (Go) build + test được trên máy cá nhân; bàn giao cổng/env/lệnh build cho nhóm Cloud. Xong khi: cả 4 người review qua PR, thay đổi sau đó gắn nhãn contract-change.</t>
        </is>
      </c>
      <c r="G4" s="17" t="inlineStr">
        <is>
          <t>Ngang hệ thống</t>
        </is>
      </c>
      <c r="H4" s="17" t="inlineStr">
        <is>
          <t>docs/contracts/; backend/; worker/; docs/report (hình kiến trúc)</t>
        </is>
      </c>
      <c r="I4" s="16" t="inlineStr">
        <is>
          <t>A,B,C,D,E,F,G,H</t>
        </is>
      </c>
      <c r="J4" s="17" t="inlineStr">
        <is>
          <t>Hợp đồng tích hợp là đường biên cứng giữa tầng Ứng dụng (Spring Boot), tầng Xử lý (Go + FFmpeg) và tầng Dữ liệu (S3/SQS/DynamoDB): cùng một message job, cùng một item videos. Đổi ở đây kéo theo đồng thời code backend, code worker, local init và Terraform — nên phải chốt trước khi bốn nhánh chạy song song, nếu không mỗi nhánh tự định nghĩa một sự thật.</t>
        </is>
      </c>
      <c r="K4" s="17" t="inlineStr">
        <is>
          <t>video-state-machine.md, sqs-job-message.schema.json, s3-key-convention.md, dynamodb-tables.md, upload-limits.md, openapi.yaml</t>
        </is>
      </c>
      <c r="L4" s="16" t="inlineStr">
        <is>
          <t>1</t>
        </is>
      </c>
      <c r="M4" s="18" t="inlineStr">
        <is>
          <t>High</t>
        </is>
      </c>
      <c r="N4" s="19" t="n">
        <v>2</v>
      </c>
      <c r="O4" s="17" t="inlineStr">
        <is>
          <t>Cả nhóm (điều phối: Phương)</t>
        </is>
      </c>
      <c r="P4" s="17" t="inlineStr">
        <is>
          <t>Lưu, Nguyên</t>
        </is>
      </c>
      <c r="Q4" s="17" t="inlineStr">
        <is>
          <t>⭕ 6 file hợp đồng đều còn nhãn DRAFT; worker/ đã có khung 9 package; backend/ mới chỉ có README</t>
        </is>
      </c>
      <c r="R4" s="17" t="inlineStr">
        <is>
          <t>Là gate của mọi hạng mục còn lại: A02–A09 viết trên nền nháp nếu chưa chốt</t>
        </is>
      </c>
      <c r="S4" s="17" t="inlineStr">
        <is>
          <t>Progress 2 §3.2 dòng A01; introduction/1 §4.A1; docs-common/2, docs-common/3</t>
        </is>
      </c>
    </row>
    <row r="5">
      <c r="A5" s="20" t="n">
        <v>2</v>
      </c>
      <c r="B5" s="20" t="inlineStr">
        <is>
          <t>A01.1</t>
        </is>
      </c>
      <c r="C5" s="20" t="inlineStr">
        <is>
          <t>TASK</t>
        </is>
      </c>
      <c r="D5" s="4" t="inlineStr">
        <is>
          <t>Chốt 5 file hợp đồng nghiệp vụ</t>
        </is>
      </c>
      <c r="E5" s="20" t="inlineStr"/>
      <c r="F5" s="4" t="inlineStr">
        <is>
          <t>Cả 4 người review: state machine, message SQS, key S3, bảng DynamoDB, giới hạn upload. Thay đổi sau đó phải qua PR nhãn contract-change.</t>
        </is>
      </c>
      <c r="G5" s="4" t="inlineStr">
        <is>
          <t>Ngang hệ thống</t>
        </is>
      </c>
      <c r="H5" s="4" t="inlineStr">
        <is>
          <t>docs/contracts/; ranh giới API vs Worker</t>
        </is>
      </c>
      <c r="I5" s="20" t="inlineStr">
        <is>
          <t>A,B,C,D,E,F</t>
        </is>
      </c>
      <c r="J5" s="4" t="inlineStr">
        <is>
          <t>Đây là văn bản định nghĩa ai được chuyển trạng thái nào: API chỉ UPLOADING→PENDING, Worker chỉ PROCESSING→COMPLETED/FAILED_*. Nếu không chốt, hai phía sẽ tự định nghĩa trạng thái và mất nguồn sự thật DynamoDB.</t>
        </is>
      </c>
      <c r="K5" s="4" t="inlineStr">
        <is>
          <t>docs/contracts/*.md (5 file)</t>
        </is>
      </c>
      <c r="L5" s="20" t="inlineStr">
        <is>
          <t>1</t>
        </is>
      </c>
      <c r="M5" s="18" t="inlineStr">
        <is>
          <t>High</t>
        </is>
      </c>
      <c r="N5" s="21" t="n"/>
      <c r="O5" s="4" t="inlineStr">
        <is>
          <t>Phương</t>
        </is>
      </c>
      <c r="P5" s="4" t="inlineStr">
        <is>
          <t>Vũ, Lưu, Nguyên</t>
        </is>
      </c>
      <c r="Q5" s="22" t="inlineStr">
        <is>
          <t>⭕ DRAFT; worker/Week1 mục 5 ghi đã review ngày 1</t>
        </is>
      </c>
      <c r="R5" s="4" t="inlineStr">
        <is>
          <t>docs-common/3: lệch contract phải sửa code hoặc mở PR, không 'sửa lặng' một phía</t>
        </is>
      </c>
      <c r="S5" s="4" t="inlineStr">
        <is>
          <t>docs-common/3. Contracts and boundaries.md §3.1, §3.4</t>
        </is>
      </c>
    </row>
    <row r="6">
      <c r="A6" s="20" t="n">
        <v>3</v>
      </c>
      <c r="B6" s="20" t="inlineStr">
        <is>
          <t>A01.2</t>
        </is>
      </c>
      <c r="C6" s="20" t="inlineStr">
        <is>
          <t>TASK</t>
        </is>
      </c>
      <c r="D6" s="4" t="inlineStr">
        <is>
          <t>Hoàn thiện openapi.yaml đủ endpoint luồng chính</t>
        </is>
      </c>
      <c r="E6" s="20" t="inlineStr"/>
      <c r="F6" s="4" t="inlineStr">
        <is>
          <t>Schema request/response đầy đủ cho auth, project, video, confirm; frontend sinh mock từ file này.</t>
        </is>
      </c>
      <c r="G6" s="4" t="inlineStr">
        <is>
          <t>Ứng dụng/API + Trình bày</t>
        </is>
      </c>
      <c r="H6" s="4" t="inlineStr">
        <is>
          <t>Spring Boot REST; mock layer frontend (MSW)</t>
        </is>
      </c>
      <c r="I6" s="20" t="inlineStr">
        <is>
          <t>A,B,C,F</t>
        </is>
      </c>
      <c r="J6" s="4" t="inlineStr">
        <is>
          <t>openapi.yaml vừa là spec của tầng Ứng dụng vừa là đầu vào trực tiếp của tầng Trình bày: frontend xây mock API từ nó để không chờ backend. Endpoint thiếu nghĩa là UI phải tự bịa giả định.</t>
        </is>
      </c>
      <c r="K6" s="4" t="inlineStr">
        <is>
          <t>openapi.yaml</t>
        </is>
      </c>
      <c r="L6" s="20" t="inlineStr">
        <is>
          <t>1</t>
        </is>
      </c>
      <c r="M6" s="18" t="inlineStr">
        <is>
          <t>High</t>
        </is>
      </c>
      <c r="N6" s="21" t="n"/>
      <c r="O6" s="4" t="inlineStr">
        <is>
          <t>Phương</t>
        </is>
      </c>
      <c r="P6" s="4" t="inlineStr">
        <is>
          <t>Vũ (mock)</t>
        </is>
      </c>
      <c r="Q6" s="22" t="inlineStr">
        <is>
          <t>⭕ DRAFT, chưa có schema request/response đầy đủ</t>
        </is>
      </c>
      <c r="R6" s="4" t="inlineStr">
        <is>
          <t>Frontend cần sớm nhất có thể (trước cả khi backend có code)</t>
        </is>
      </c>
      <c r="S6" s="4" t="inlineStr">
        <is>
          <t>docs-common/2 §2.2; docs-frontend/2. Timelines.md §3</t>
        </is>
      </c>
    </row>
    <row r="7">
      <c r="A7" s="20" t="n">
        <v>4</v>
      </c>
      <c r="B7" s="20" t="inlineStr">
        <is>
          <t>A01.3</t>
        </is>
      </c>
      <c r="C7" s="20" t="inlineStr">
        <is>
          <t>TASK</t>
        </is>
      </c>
      <c r="D7" s="4" t="inlineStr">
        <is>
          <t>Dựng khung backend Spring Boot + bàn giao cổng/env/health</t>
        </is>
      </c>
      <c r="E7" s="20" t="inlineStr"/>
      <c r="F7" s="4" t="inlineStr">
        <is>
          <t>Khung chạy ở máy cá nhân, ghi rõ cổng 8080, biến môi trường, health endpoint để Lưu viết Dockerfile.</t>
        </is>
      </c>
      <c r="G7" s="4" t="inlineStr">
        <is>
          <t>Ứng dụng/API</t>
        </is>
      </c>
      <c r="H7" s="4" t="inlineStr">
        <is>
          <t>backend/ Spring Boot trên EC2; cấu hình runtime từ env/SSM</t>
        </is>
      </c>
      <c r="I7" s="20" t="inlineStr">
        <is>
          <t>A,B,C,D</t>
        </is>
      </c>
      <c r="J7" s="4" t="inlineStr">
        <is>
          <t>Là chỗ đặt toàn bộ module A-F của tầng Ứng dụng. App không hard-code bucket/queue ARN mà đọc tên từ env/SSM do Cloud cấp - đó là điều kiện để cùng một Docker image chạy cả local và AWS.</t>
        </is>
      </c>
      <c r="K7" s="4" t="inlineStr">
        <is>
          <t>.env.example; docs-backend/04</t>
        </is>
      </c>
      <c r="L7" s="20" t="inlineStr">
        <is>
          <t>1</t>
        </is>
      </c>
      <c r="M7" s="18" t="inlineStr">
        <is>
          <t>High</t>
        </is>
      </c>
      <c r="N7" s="21" t="n"/>
      <c r="O7" s="4" t="inlineStr">
        <is>
          <t>Phương</t>
        </is>
      </c>
      <c r="P7" s="4" t="inlineStr">
        <is>
          <t>Lưu (Dockerfile)</t>
        </is>
      </c>
      <c r="Q7" s="23" t="inlineStr">
        <is>
          <t>❌ Chưa có: backend/ chỉ có README, chưa pom.xml</t>
        </is>
      </c>
      <c r="R7" s="4" t="inlineStr">
        <is>
          <t>Chặn C0.2 Dockerfile backend và M2</t>
        </is>
      </c>
      <c r="S7" s="4" t="inlineStr">
        <is>
          <t>docs-common/2 §2.2 'Ứng dụng'; rà soát repo 21/10/2026</t>
        </is>
      </c>
    </row>
    <row r="8">
      <c r="A8" s="20" t="n">
        <v>5</v>
      </c>
      <c r="B8" s="20" t="inlineStr">
        <is>
          <t>A01.4</t>
        </is>
      </c>
      <c r="C8" s="20" t="inlineStr">
        <is>
          <t>TASK</t>
        </is>
      </c>
      <c r="D8" s="4" t="inlineStr">
        <is>
          <t>Dựng khung worker Go theo cấu trúc 9 package</t>
        </is>
      </c>
      <c r="E8" s="20" t="inlineStr"/>
      <c r="F8" s="4" t="inlineStr">
        <is>
          <t>cmd/worker + internal/{config,consumer,validate,transcode,storage,state,job,shutdown,logging}; gửi bàn giao build/run/env/IAM cho Lưu và Nguyên.</t>
        </is>
      </c>
      <c r="G8" s="4" t="inlineStr">
        <is>
          <t>Xử lý</t>
        </is>
      </c>
      <c r="H8" s="4" t="inlineStr">
        <is>
          <t>worker/ Go; container tvc-worker trong EC2 ASG</t>
        </is>
      </c>
      <c r="I8" s="20" t="inlineStr">
        <is>
          <t>E</t>
        </is>
      </c>
      <c r="J8" s="4" t="inlineStr">
        <is>
          <t>Module job là nơi duy nhất biết thứ tự các bước, các package còn lại là thư viện thuần mock được (SQS/S3/DynamoDB đều là interface). Nhờ vậy worker không có nhánh code theo môi trường: mọi khác biệt local/cloud nằm ở biến môi trường.</t>
        </is>
      </c>
      <c r="K8" s="4" t="inlineStr">
        <is>
          <t>docs-worker/3 §3.2, §3.8, §3.9</t>
        </is>
      </c>
      <c r="L8" s="20" t="inlineStr">
        <is>
          <t>1</t>
        </is>
      </c>
      <c r="M8" s="18" t="inlineStr">
        <is>
          <t>High</t>
        </is>
      </c>
      <c r="N8" s="21" t="n"/>
      <c r="O8" s="4" t="inlineStr">
        <is>
          <t>Vũ</t>
        </is>
      </c>
      <c r="P8" s="4" t="inlineStr"/>
      <c r="Q8" s="24" t="inlineStr">
        <is>
          <t>✅ Có code (1.427 dòng Go, 9 package, go test xanh); ⭕ bàn giao mục 6.1 chưa gửi</t>
        </is>
      </c>
      <c r="R8" s="4" t="inlineStr">
        <is>
          <t>Bàn giao trễ chặn Dockerfile (C0.2) và policy IAM (C2.1)</t>
        </is>
      </c>
      <c r="S8" s="4" t="inlineStr">
        <is>
          <t>docs-worker/work/Week1.md §3 ngày 3, §6.1; rà soát repo 27/10</t>
        </is>
      </c>
    </row>
    <row r="9">
      <c r="A9" s="16" t="n">
        <v>6</v>
      </c>
      <c r="B9" s="16" t="inlineStr">
        <is>
          <t>A02</t>
        </is>
      </c>
      <c r="C9" s="16" t="inlineStr">
        <is>
          <t>EPIC</t>
        </is>
      </c>
      <c r="D9" s="17" t="inlineStr">
        <is>
          <t>Backend Auth, Project, Video</t>
        </is>
      </c>
      <c r="E9" s="16" t="inlineStr">
        <is>
          <t>[1], [3], [5]</t>
        </is>
      </c>
      <c r="F9" s="17" t="inlineStr">
        <is>
          <t>Đăng ký/đăng nhập JWT; API key theo project (lưu hash) + lớp xác thực Developer API; CRUD project; danh sách video theo project (cursor pagination); kiểm tra quyền sở hữu mọi truy cập; CORS cấu hình qua biến môi trường. Xong khi: SaaS và Developer API gọi vào cùng bộ module, không có nhánh code riêng.</t>
        </is>
      </c>
      <c r="G9" s="17" t="inlineStr">
        <is>
          <t>Ứng dụng / API</t>
        </is>
      </c>
      <c r="H9" s="17" t="inlineStr">
        <is>
          <t>Spring Boot (module A, B, F) trên EC2 → DynamoDB</t>
        </is>
      </c>
      <c r="I9" s="16" t="inlineStr">
        <is>
          <t>A,B,F</t>
        </is>
      </c>
      <c r="J9" s="17" t="inlineStr">
        <is>
          <t>Toàn bộ module A/B/F nằm trong một tiến trình Spring Boot — hiện thực hóa nguyên tắc 'một backend, hai cách dùng': SaaS Web và Developer API chỉ khác nhau ở lớp xác thực ([3]), phía sau dùng chung metadata và quyền sở hữu. Vì UI ([1]) và luồng upload ([4]) đều gọi vào đây, chậm A02 là chậm cả frontend lẫn e2e.</t>
        </is>
      </c>
      <c r="K9" s="17" t="inlineStr">
        <is>
          <t>openapi.yaml; dynamodb-tables.md; docs-common/3 §3.2 (ownership)</t>
        </is>
      </c>
      <c r="L9" s="16" t="inlineStr">
        <is>
          <t>1–2</t>
        </is>
      </c>
      <c r="M9" s="18" t="inlineStr">
        <is>
          <t>High</t>
        </is>
      </c>
      <c r="N9" s="19" t="n">
        <v>5</v>
      </c>
      <c r="O9" s="17" t="inlineStr">
        <is>
          <t>Phương</t>
        </is>
      </c>
      <c r="P9" s="17" t="inlineStr">
        <is>
          <t>Vũ (lease/quyền sở hữu), Lưu (SG, compose)</t>
        </is>
      </c>
      <c r="Q9" s="17" t="inlineStr">
        <is>
          <t>❌ backend/ chỉ có README — chưa một dòng code; đây là hạng mục lớn nhất và nằm trên đường găng</t>
        </is>
      </c>
      <c r="R9" s="17" t="inlineStr">
        <is>
          <t>Không cắt được (lever cuối): không có backend thì e2e, demo và số liệu thực nghiệm đều vô nghĩa</t>
        </is>
      </c>
      <c r="S9" s="17" t="inlineStr">
        <is>
          <t>Progress 2 §3.2 dòng A02, §3.3; docs-backend/11-plan-and-timeline.md</t>
        </is>
      </c>
    </row>
    <row r="10">
      <c r="A10" s="20" t="n">
        <v>7</v>
      </c>
      <c r="B10" s="20" t="inlineStr">
        <is>
          <t>A02.1</t>
        </is>
      </c>
      <c r="C10" s="20" t="inlineStr">
        <is>
          <t>TASK</t>
        </is>
      </c>
      <c r="D10" s="4" t="inlineStr">
        <is>
          <t>Đăng ký / đăng nhập JWT</t>
        </is>
      </c>
      <c r="E10" s="20" t="inlineStr"/>
      <c r="F10" s="4" t="inlineStr">
        <is>
          <t>POST /auth/register, POST /auth/login trả JWT; email duy nhất (giao dịch ghi hai item).</t>
        </is>
      </c>
      <c r="G10" s="4" t="inlineStr">
        <is>
          <t>Ứng dụng/API</t>
        </is>
      </c>
      <c r="H10" s="4" t="inlineStr">
        <is>
          <t>Spring Boot module A; bảng users</t>
        </is>
      </c>
      <c r="I10" s="20" t="inlineStr">
        <is>
          <t>A</t>
        </is>
      </c>
      <c r="J10" s="4" t="inlineStr">
        <is>
          <t>JWT là lớp xác thực của SaaS Web; không có thì F2 đăng nhập và guard route của frontend chỉ tồn tại trên mock, không hợp nhất được ở tuần 9.</t>
        </is>
      </c>
      <c r="K10" s="4" t="inlineStr">
        <is>
          <t>openapi.yaml; dynamodb-tables.md</t>
        </is>
      </c>
      <c r="L10" s="20" t="inlineStr">
        <is>
          <t>1–2</t>
        </is>
      </c>
      <c r="M10" s="18" t="inlineStr">
        <is>
          <t>High</t>
        </is>
      </c>
      <c r="N10" s="21" t="n"/>
      <c r="O10" s="4" t="inlineStr">
        <is>
          <t>Phương</t>
        </is>
      </c>
      <c r="P10" s="4" t="inlineStr"/>
      <c r="Q10" s="23" t="inlineStr">
        <is>
          <t>❌ Chưa có</t>
        </is>
      </c>
      <c r="R10" s="4" t="inlineStr">
        <is>
          <t>ADR 0001: email duy nhất cần giao dịch ghi hai item vì DynamoDB không có unique constraint</t>
        </is>
      </c>
      <c r="S10" s="4" t="inlineStr">
        <is>
          <t>docs-common/5 ADR 0001; Progress 2 §1.2.1</t>
        </is>
      </c>
    </row>
    <row r="11">
      <c r="A11" s="20" t="n">
        <v>8</v>
      </c>
      <c r="B11" s="20" t="inlineStr">
        <is>
          <t>A02.2</t>
        </is>
      </c>
      <c r="C11" s="20" t="inlineStr">
        <is>
          <t>TASK</t>
        </is>
      </c>
      <c r="D11" s="4" t="inlineStr">
        <is>
          <t>API key theo project (lưu hash) + xác thực API key</t>
        </is>
      </c>
      <c r="E11" s="20" t="inlineStr"/>
      <c r="F11" s="4" t="inlineStr">
        <is>
          <t>POST /projects/{id}/api-keys; chỉ lưu hash trong bảng apikeys; middleware xác thực máy-máy.</t>
        </is>
      </c>
      <c r="G11" s="4" t="inlineStr">
        <is>
          <t>Ứng dụng/API</t>
        </is>
      </c>
      <c r="H11" s="4" t="inlineStr">
        <is>
          <t>Spring Boot module A; bảng apikeys</t>
        </is>
      </c>
      <c r="I11" s="20" t="inlineStr">
        <is>
          <t>A,F</t>
        </is>
      </c>
      <c r="J11" s="4" t="inlineStr">
        <is>
          <t>API key gắn project chứ không gắn user, tạo phạm vi thu hồi rõ - đây chính là điểm biến TransVidCloud thành lớp 'Developer Platform': hệ thống bên ngoài gọi được toàn bộ pipeline mà không biết tới AWS. Cắt cuối cùng vì là điểm khác biệt của Developer API.</t>
        </is>
      </c>
      <c r="K11" s="4" t="inlineStr">
        <is>
          <t>openapi.yaml; dynamodb-tables.md</t>
        </is>
      </c>
      <c r="L11" s="20" t="inlineStr">
        <is>
          <t>1–2</t>
        </is>
      </c>
      <c r="M11" s="18" t="inlineStr">
        <is>
          <t>High</t>
        </is>
      </c>
      <c r="N11" s="21" t="n"/>
      <c r="O11" s="4" t="inlineStr">
        <is>
          <t>Phương</t>
        </is>
      </c>
      <c r="P11" s="4" t="inlineStr"/>
      <c r="Q11" s="23" t="inlineStr">
        <is>
          <t>❌ Chưa có</t>
        </is>
      </c>
      <c r="R11" s="4" t="inlineStr">
        <is>
          <t>Timeline §7 xếp JWT trước, API key sau khi cắt giảm</t>
        </is>
      </c>
      <c r="S11" s="4" t="inlineStr">
        <is>
          <t>Progress 2 §1.3.3; introduction/1 §7 mục 6</t>
        </is>
      </c>
    </row>
    <row r="12">
      <c r="A12" s="20" t="n">
        <v>9</v>
      </c>
      <c r="B12" s="20" t="inlineStr">
        <is>
          <t>A02.3</t>
        </is>
      </c>
      <c r="C12" s="20" t="inlineStr">
        <is>
          <t>TASK</t>
        </is>
      </c>
      <c r="D12" s="4" t="inlineStr">
        <is>
          <t>CRUD project</t>
        </is>
      </c>
      <c r="E12" s="20" t="inlineStr"/>
      <c r="F12" s="4" t="inlineStr">
        <is>
          <t>Tạo/list project; mỗi user chỉ thấy project của mình.</t>
        </is>
      </c>
      <c r="G12" s="4" t="inlineStr">
        <is>
          <t>Ứng dụng/API + Dữ liệu</t>
        </is>
      </c>
      <c r="H12" s="4" t="inlineStr">
        <is>
          <t>Spring Boot module A; bảng projects (GSI)</t>
        </is>
      </c>
      <c r="I12" s="20" t="inlineStr">
        <is>
          <t>A</t>
        </is>
      </c>
      <c r="J12" s="4" t="inlineStr">
        <is>
          <t>Project là không gian làm việc và cũng là tiền tố của mọi S3 key ({projectId}/{videoId}/...): nó đồng thời là đơn vị phân quyền và đơn vị bố trí dữ liệu trong bucket.</t>
        </is>
      </c>
      <c r="K12" s="4" t="inlineStr">
        <is>
          <t>dynamodb-tables.md; s3-key-convention.md</t>
        </is>
      </c>
      <c r="L12" s="20" t="inlineStr">
        <is>
          <t>1–2</t>
        </is>
      </c>
      <c r="M12" s="18" t="inlineStr">
        <is>
          <t>High</t>
        </is>
      </c>
      <c r="N12" s="21" t="n"/>
      <c r="O12" s="4" t="inlineStr">
        <is>
          <t>Phương</t>
        </is>
      </c>
      <c r="P12" s="4" t="inlineStr"/>
      <c r="Q12" s="23" t="inlineStr">
        <is>
          <t>❌ Chưa có</t>
        </is>
      </c>
      <c r="R12" s="4" t="inlineStr">
        <is>
          <t>Frontend F2.3 cần endpoint này để hợp nhất</t>
        </is>
      </c>
      <c r="S12" s="4" t="inlineStr">
        <is>
          <t>docs-frontend/2 §3</t>
        </is>
      </c>
    </row>
    <row r="13">
      <c r="A13" s="20" t="n">
        <v>10</v>
      </c>
      <c r="B13" s="20" t="inlineStr">
        <is>
          <t>A02.4</t>
        </is>
      </c>
      <c r="C13" s="20" t="inlineStr">
        <is>
          <t>TASK</t>
        </is>
      </c>
      <c r="D13" s="4" t="inlineStr">
        <is>
          <t>Danh sách video theo project (cursor pagination)</t>
        </is>
      </c>
      <c r="E13" s="20" t="inlineStr"/>
      <c r="F13" s="4" t="inlineStr">
        <is>
          <t>GET /projects/{projectId}/videos, phân trang cursor.</t>
        </is>
      </c>
      <c r="G13" s="4" t="inlineStr">
        <is>
          <t>Ứng dụng/API + Dữ liệu</t>
        </is>
      </c>
      <c r="H13" s="4" t="inlineStr">
        <is>
          <t>Spring Boot module B; GSI videos trên projectId</t>
        </is>
      </c>
      <c r="I13" s="20" t="inlineStr">
        <is>
          <t>B</t>
        </is>
      </c>
      <c r="J13" s="4" t="inlineStr">
        <is>
          <t>Truy vấn theo project là access pattern cố định đã thiết kế key/GSI cho DynamoDB; không có RDS nên mọi pagination phải làm bằng cursor trên khoá chính/GSI.</t>
        </is>
      </c>
      <c r="K13" s="4" t="inlineStr">
        <is>
          <t>dynamodb-tables.md</t>
        </is>
      </c>
      <c r="L13" s="20" t="inlineStr">
        <is>
          <t>1–2</t>
        </is>
      </c>
      <c r="M13" s="18" t="inlineStr">
        <is>
          <t>High</t>
        </is>
      </c>
      <c r="N13" s="21" t="n"/>
      <c r="O13" s="4" t="inlineStr">
        <is>
          <t>Phương</t>
        </is>
      </c>
      <c r="P13" s="4" t="inlineStr">
        <is>
          <t>Vũ (UI F4)</t>
        </is>
      </c>
      <c r="Q13" s="23" t="inlineStr">
        <is>
          <t>❌ Chưa có</t>
        </is>
      </c>
      <c r="R13" s="4" t="inlineStr"/>
      <c r="S13" s="4" t="inlineStr">
        <is>
          <t>docs-common/1 §1.3; docs-backend/06</t>
        </is>
      </c>
    </row>
    <row r="14">
      <c r="A14" s="20" t="n">
        <v>11</v>
      </c>
      <c r="B14" s="20" t="inlineStr">
        <is>
          <t>A02.5</t>
        </is>
      </c>
      <c r="C14" s="20" t="inlineStr">
        <is>
          <t>TASK</t>
        </is>
      </c>
      <c r="D14" s="4" t="inlineStr">
        <is>
          <t>Phân quyền ownership</t>
        </is>
      </c>
      <c r="E14" s="20" t="inlineStr"/>
      <c r="F14" s="4" t="inlineStr">
        <is>
          <t>Từ chối truy cập tài nguyên không thuộc user/project của mình.</t>
        </is>
      </c>
      <c r="G14" s="4" t="inlineStr">
        <is>
          <t>Ứng dụng/API + Bảo mật</t>
        </is>
      </c>
      <c r="H14" s="4" t="inlineStr">
        <is>
          <t>Spring Boot module A; IAM là lớp hạ tầng riêng</t>
        </is>
      </c>
      <c r="I14" s="20" t="inlineStr">
        <is>
          <t>A</t>
        </is>
      </c>
      <c r="J14" s="4" t="inlineStr">
        <is>
          <t>Ownership là kiểm soát ở tầng ứng dụng, độc lập với IAM role: IAM chỉ giới hạn AWS principle truy cập dịch vụ, không phân biệt người dùng cuối. Checklist A8 yêu cầu kiểm chứng 'người dùng không đọc project của người khác'.</t>
        </is>
      </c>
      <c r="K14" s="4" t="inlineStr">
        <is>
          <t>docs-backend/07-security-and-authorization.md</t>
        </is>
      </c>
      <c r="L14" s="20" t="inlineStr">
        <is>
          <t>1–2</t>
        </is>
      </c>
      <c r="M14" s="18" t="inlineStr">
        <is>
          <t>High</t>
        </is>
      </c>
      <c r="N14" s="21" t="n"/>
      <c r="O14" s="4" t="inlineStr">
        <is>
          <t>Phương</t>
        </is>
      </c>
      <c r="P14" s="4" t="inlineStr">
        <is>
          <t>Lưu (ca test A8)</t>
        </is>
      </c>
      <c r="Q14" s="23" t="inlineStr">
        <is>
          <t>❌ Chưa có</t>
        </is>
      </c>
      <c r="R14" s="4" t="inlineStr"/>
      <c r="S14" s="4" t="inlineStr">
        <is>
          <t>docs-cloud/4 §9; docs-backend/07</t>
        </is>
      </c>
    </row>
    <row r="15">
      <c r="A15" s="20" t="n">
        <v>12</v>
      </c>
      <c r="B15" s="20" t="inlineStr">
        <is>
          <t>A02.6</t>
        </is>
      </c>
      <c r="C15" s="20" t="inlineStr">
        <is>
          <t>TASK</t>
        </is>
      </c>
      <c r="D15" s="4" t="inlineStr">
        <is>
          <t>CORS cấu hình qua biến môi trường</t>
        </is>
      </c>
      <c r="E15" s="20" t="inlineStr"/>
      <c r="F15" s="4" t="inlineStr">
        <is>
          <t>Chỉ bật khi frontend và API khác origin; dùng cho presigned PUT và CloudFront /api/*.</t>
        </is>
      </c>
      <c r="G15" s="4" t="inlineStr">
        <is>
          <t>Ứng dụng/API + Edge</t>
        </is>
      </c>
      <c r="H15" s="4" t="inlineStr">
        <is>
          <t>Spring Boot; bucket input CORS; CloudFront behavior</t>
        </is>
      </c>
      <c r="I15" s="20" t="inlineStr">
        <is>
          <t>A,C</t>
        </is>
      </c>
      <c r="J15" s="4" t="inlineStr">
        <is>
          <t>Lớp CORS chỉ lộ ra khi đổi phương án truy cập (mục 8.1: bỏ /api/* khỏi CloudFront, tách app.&lt;domain&gt; và api.&lt;domain&gt;). Nếu giữ một entry CloudFront thì không cần, nên để cấu hình env chứ không hard-code.</t>
        </is>
      </c>
      <c r="K15" s="4" t="inlineStr">
        <is>
          <t>docs-backend/05; introduction/1 §8.1</t>
        </is>
      </c>
      <c r="L15" s="20" t="inlineStr">
        <is>
          <t>1–2</t>
        </is>
      </c>
      <c r="M15" s="18" t="inlineStr">
        <is>
          <t>High</t>
        </is>
      </c>
      <c r="N15" s="21" t="n"/>
      <c r="O15" s="4" t="inlineStr">
        <is>
          <t>Phương</t>
        </is>
      </c>
      <c r="P15" s="4" t="inlineStr">
        <is>
          <t>Nguyên (C4)</t>
        </is>
      </c>
      <c r="Q15" s="23" t="inlineStr">
        <is>
          <t>❌ Chưa có</t>
        </is>
      </c>
      <c r="R15" s="4" t="inlineStr">
        <is>
          <t>Chỉ cần cho phương án dự phòng hai domain</t>
        </is>
      </c>
      <c r="S15" s="4" t="inlineStr">
        <is>
          <t>introduction/1 §8.1; docs-frontend/2 §3</t>
        </is>
      </c>
    </row>
    <row r="16">
      <c r="A16" s="16" t="n">
        <v>13</v>
      </c>
      <c r="B16" s="16" t="inlineStr">
        <is>
          <t>A03</t>
        </is>
      </c>
      <c r="C16" s="16" t="inlineStr">
        <is>
          <t>EPIC</t>
        </is>
      </c>
      <c r="D16" s="17" t="inlineStr">
        <is>
          <t>Upload và điều phối job</t>
        </is>
      </c>
      <c r="E16" s="16" t="inlineStr">
        <is>
          <t>[4], [5], [6], [9]</t>
        </is>
      </c>
      <c r="F16" s="17" t="inlineStr">
        <is>
          <t>POST /projects/{id}/videos (khai báo + presigned PUT, chặn 413/422 theo upload-limits); POST /videos/{id}/confirm (HeadObject → PENDING → SendMessage); GET /videos/{id} trả trạng thái + assets + link streaming; chống mất job giữa ghi trạng thái và gửi message. Xong khi: một video thật đi từ khai báo tới PENDING rồi COMPLETED.</t>
        </is>
      </c>
      <c r="G16" s="17" t="inlineStr">
        <is>
          <t>Ứng dụng / API + Dữ liệu</t>
        </is>
      </c>
      <c r="H16" s="17" t="inlineStr">
        <is>
          <t>Spring Boot module C, D → S3 input, SQS jobs, DynamoDB videos</t>
        </is>
      </c>
      <c r="I16" s="16" t="inlineStr">
        <is>
          <t>C,D</t>
        </is>
      </c>
      <c r="J16" s="17" t="inlineStr">
        <is>
          <t>Đây là chỗ tầng Ứng dụng giao với tầng Xử lý: S3 input [4], DynamoDB [5], SQS [6] và máy trạng thái [9]. UpdateItem và SendMessage không nguyên tử, nên thứ tự ghi + cơ chế phục hồi (reconcile/lease) là quyết định kiến trúc, không phải chi tiết triển khai — sai ở đây tạo video treo ở PENDING mãi mãi.</t>
        </is>
      </c>
      <c r="K16" s="17" t="inlineStr">
        <is>
          <t>upload-limits.md; sqs-job-message.schema.json; video-state-machine.md</t>
        </is>
      </c>
      <c r="L16" s="16" t="inlineStr">
        <is>
          <t>2–3</t>
        </is>
      </c>
      <c r="M16" s="18" t="inlineStr">
        <is>
          <t>High</t>
        </is>
      </c>
      <c r="N16" s="19" t="n">
        <v>2.5</v>
      </c>
      <c r="O16" s="17" t="inlineStr">
        <is>
          <t>Phương</t>
        </is>
      </c>
      <c r="P16" s="17" t="inlineStr">
        <is>
          <t>Vũ (worker), Nguyên (CORS bucket, quyền SQS)</t>
        </is>
      </c>
      <c r="Q16" s="17" t="inlineStr">
        <is>
          <t>❌ Chưa có code; thứ tự xác nhận input (HeadObject) và cơ chế chống mất job chưa chốt trong hợp đồng</t>
        </is>
      </c>
      <c r="R16" s="17" t="inlineStr">
        <is>
          <t>Phụ thuộc A01 (schema) và A08 (bucket/queue); là tiền đề trực tiếp của A10</t>
        </is>
      </c>
      <c r="S16" s="17" t="inlineStr">
        <is>
          <t>Progress 2 §3.2 dòng A03; docs-common/3 §3.3; docs-cloud/3 §10 (điểm mở)</t>
        </is>
      </c>
    </row>
    <row r="17">
      <c r="A17" s="20" t="n">
        <v>14</v>
      </c>
      <c r="B17" s="20" t="inlineStr">
        <is>
          <t>A03.1</t>
        </is>
      </c>
      <c r="C17" s="20" t="inlineStr">
        <is>
          <t>TASK</t>
        </is>
      </c>
      <c r="D17" s="4" t="inlineStr">
        <is>
          <t>POST /projects/{id}/videos: kiểm tra khai báo + ký presigned URL</t>
        </is>
      </c>
      <c r="E17" s="20" t="inlineStr"/>
      <c r="F17" s="4" t="inlineStr">
        <is>
          <t>Client khai báo sizeBytes, contentType; từ chối nếu vượt 200 MB / định dạng; ký PUT 15 phút kèm Content-Length đã khai báo (cần thử để chắc S3 từ chối file sai kích thước).</t>
        </is>
      </c>
      <c r="G17" s="4" t="inlineStr">
        <is>
          <t>Ứng dụng/API + Dữ liệu</t>
        </is>
      </c>
      <c r="H17" s="4" t="inlineStr">
        <is>
          <t>Spring Boot module C; S3 input presigned PUT</t>
        </is>
      </c>
      <c r="I17" s="20" t="inlineStr">
        <is>
          <t>C</t>
        </is>
      </c>
      <c r="J17" s="4" t="inlineStr">
        <is>
          <t>Presigned PUT bản thân nó không giới hạn kích thước, nên lớp bảo vệ phải xếp tầng: client (UX) → API từ chối khai báo → confirm kiểm HeadObject → worker ffprobe → lifecycle S3 dọn file. Bỏ một tầng là thủng giới hạn.</t>
        </is>
      </c>
      <c r="K17" s="4" t="inlineStr">
        <is>
          <t>upload-limits.md; s3-key-convention.md</t>
        </is>
      </c>
      <c r="L17" s="20" t="inlineStr">
        <is>
          <t>2–3</t>
        </is>
      </c>
      <c r="M17" s="18" t="inlineStr">
        <is>
          <t>High</t>
        </is>
      </c>
      <c r="N17" s="21" t="n"/>
      <c r="O17" s="4" t="inlineStr">
        <is>
          <t>Phương</t>
        </is>
      </c>
      <c r="P17" s="4" t="inlineStr">
        <is>
          <t>Lưu (CORS input)</t>
        </is>
      </c>
      <c r="Q17" s="23" t="inlineStr">
        <is>
          <t>❌ Chưa có</t>
        </is>
      </c>
      <c r="R17" s="4" t="inlineStr">
        <is>
          <t>Chưa kiểm chứng S3 enforced Content-Length trên AWS</t>
        </is>
      </c>
      <c r="S17" s="4" t="inlineStr">
        <is>
          <t>introduction/1 §8.2; docs-cloud/3 §5.1</t>
        </is>
      </c>
    </row>
    <row r="18">
      <c r="A18" s="20" t="n">
        <v>15</v>
      </c>
      <c r="B18" s="20" t="inlineStr">
        <is>
          <t>A03.2</t>
        </is>
      </c>
      <c r="C18" s="20" t="inlineStr">
        <is>
          <t>TASK</t>
        </is>
      </c>
      <c r="D18" s="4" t="inlineStr">
        <is>
          <t>POST /videos/{id}/confirm: HeadObject → PENDING → SendMessage</t>
        </is>
      </c>
      <c r="E18" s="20" t="inlineStr"/>
      <c r="F18" s="4" t="inlineStr">
        <is>
          <t>Kiểm tra object tồn tại và đúng dung lượng, chuyển UPLOADING→PENDING, gửi message SQS theo schemaVersion 1.</t>
        </is>
      </c>
      <c r="G18" s="4" t="inlineStr">
        <is>
          <t>Ứng dụng/API + Dữ liệu</t>
        </is>
      </c>
      <c r="H18" s="4" t="inlineStr">
        <is>
          <t>Spring Boot module D; SQS producer; DynamoDB</t>
        </is>
      </c>
      <c r="I18" s="20" t="inlineStr">
        <is>
          <t>C,D</t>
        </is>
      </c>
      <c r="J18" s="4" t="inlineStr">
        <is>
          <t>Là điểm hai tầng gặp nhau: một item DynamoDB và một message SQS. Ghi DynamoDB và gửi SQS KHÔNG phải một giao dịch nguyên tử, nên đây là chỗ dễ mất job nhất của toàn kiến trúc - phải chốt cơ chế chống mất trước khi test A5/A8.</t>
        </is>
      </c>
      <c r="K18" s="4" t="inlineStr">
        <is>
          <t>sqs-job-message.schema.json; video-state-machine.md</t>
        </is>
      </c>
      <c r="L18" s="20" t="inlineStr">
        <is>
          <t>2–3</t>
        </is>
      </c>
      <c r="M18" s="18" t="inlineStr">
        <is>
          <t>High</t>
        </is>
      </c>
      <c r="N18" s="21" t="n"/>
      <c r="O18" s="4" t="inlineStr">
        <is>
          <t>Phương</t>
        </is>
      </c>
      <c r="P18" s="4" t="inlineStr">
        <is>
          <t>Vũ (quyền sở hữu job)</t>
        </is>
      </c>
      <c r="Q18" s="23" t="inlineStr">
        <is>
          <t>❌ Chưa có</t>
        </is>
      </c>
      <c r="R18" s="4" t="inlineStr">
        <is>
          <t>Điểm mở ghi ở docs-cloud/3 §10, hạn M2</t>
        </is>
      </c>
      <c r="S18" s="4" t="inlineStr">
        <is>
          <t>docs-cloud/3 §5.2, §10; docs-common/3 §3.5</t>
        </is>
      </c>
    </row>
    <row r="19">
      <c r="A19" s="20" t="n">
        <v>16</v>
      </c>
      <c r="B19" s="20" t="inlineStr">
        <is>
          <t>A03.3</t>
        </is>
      </c>
      <c r="C19" s="20" t="inlineStr">
        <is>
          <t>TASK</t>
        </is>
      </c>
      <c r="D19" s="4" t="inlineStr">
        <is>
          <t>GET /videos/{id}: trạng thái, assets, link streaming</t>
        </is>
      </c>
      <c r="E19" s="20" t="inlineStr"/>
      <c r="F19" s="4" t="inlineStr">
        <is>
          <t>Trả trạng thái + errorCode + assets; API ghép tiền tố /media/ cho link phát.</t>
        </is>
      </c>
      <c r="G19" s="4" t="inlineStr">
        <is>
          <t>Ứng dụng/API + Edge</t>
        </is>
      </c>
      <c r="H19" s="4" t="inlineStr">
        <is>
          <t>Spring Boot module F; DynamoDB assets map; CloudFront /media/*</t>
        </is>
      </c>
      <c r="I19" s="20" t="inlineStr">
        <is>
          <t>B,F</t>
        </is>
      </c>
      <c r="J19" s="4" t="inlineStr">
        <is>
          <t>'Một call cho trạng thái + asset' là quyết định kiến trúc để vòng poll của bên tích hợp đơn giản và rẻ. Assets lưu S3 key chứ không lưu URL đầy đủ; URL cuối cùng do tầng Edge ghép (/media/), nhờ đó đổi domain/CDN không phải ghi lại dữ liệu.</t>
        </is>
      </c>
      <c r="K19" s="4" t="inlineStr">
        <is>
          <t>openapi.yaml; s3-key-convention.md; docs-worker/5</t>
        </is>
      </c>
      <c r="L19" s="20" t="inlineStr">
        <is>
          <t>2–3</t>
        </is>
      </c>
      <c r="M19" s="18" t="inlineStr">
        <is>
          <t>High</t>
        </is>
      </c>
      <c r="N19" s="21" t="n"/>
      <c r="O19" s="4" t="inlineStr">
        <is>
          <t>Phương</t>
        </is>
      </c>
      <c r="P19" s="4" t="inlineStr">
        <is>
          <t>Vũ (F5 player)</t>
        </is>
      </c>
      <c r="Q19" s="23" t="inlineStr">
        <is>
          <t>❌ Chưa có</t>
        </is>
      </c>
      <c r="R19" s="4" t="inlineStr">
        <is>
          <t>Quy ước 'key vs URL' nằm trong nhóm dễ lệch tích hợp</t>
        </is>
      </c>
      <c r="S19" s="4" t="inlineStr">
        <is>
          <t>Progress 2 §1.3.2; docs-common/3 §3.5</t>
        </is>
      </c>
    </row>
    <row r="20">
      <c r="A20" s="20" t="n">
        <v>17</v>
      </c>
      <c r="B20" s="20" t="inlineStr">
        <is>
          <t>A03.4</t>
        </is>
      </c>
      <c r="C20" s="20" t="inlineStr">
        <is>
          <t>TASK</t>
        </is>
      </c>
      <c r="D20" s="4" t="inlineStr">
        <is>
          <t>Kiểm chứng 'Xong khi' của A3</t>
        </is>
      </c>
      <c r="E20" s="20" t="inlineStr"/>
      <c r="F20" s="4" t="inlineStr">
        <is>
          <t>Upload file 201 MB bị API từ chối; file hợp lệ vào queue và worker nhận được.</t>
        </is>
      </c>
      <c r="G20" s="4" t="inlineStr">
        <is>
          <t>Ứng dụng/API + Xử lý</t>
        </is>
      </c>
      <c r="H20" s="4" t="inlineStr">
        <is>
          <t>API + S3 input + SQS jobs</t>
        </is>
      </c>
      <c r="I20" s="20" t="inlineStr">
        <is>
          <t>C,D</t>
        </is>
      </c>
      <c r="J20" s="4" t="inlineStr">
        <is>
          <t>Là phép thử nối tầng Ứng dụng với tầng Xử lý qua hàng đợi: nếu message vào queue đúng schema thì worker kiểm chứng độc lập được ngay cả khi phần UI chưa xong.</t>
        </is>
      </c>
      <c r="K20" s="4" t="inlineStr">
        <is>
          <t>docs/contracts/upload-limits.md</t>
        </is>
      </c>
      <c r="L20" s="20" t="inlineStr">
        <is>
          <t>2–3</t>
        </is>
      </c>
      <c r="M20" s="18" t="inlineStr">
        <is>
          <t>High</t>
        </is>
      </c>
      <c r="N20" s="21" t="n"/>
      <c r="O20" s="4" t="inlineStr">
        <is>
          <t>Phương</t>
        </is>
      </c>
      <c r="P20" s="4" t="inlineStr">
        <is>
          <t>Vũ, Lưu (e2e A8.1)</t>
        </is>
      </c>
      <c r="Q20" s="23" t="inlineStr">
        <is>
          <t>❌ Chưa có</t>
        </is>
      </c>
      <c r="R20" s="4" t="inlineStr"/>
      <c r="S20" s="4" t="inlineStr">
        <is>
          <t>introduction/1 §4.A3</t>
        </is>
      </c>
    </row>
    <row r="21">
      <c r="A21" s="20" t="n">
        <v>18</v>
      </c>
      <c r="B21" s="20" t="inlineStr">
        <is>
          <t>A03.5</t>
        </is>
      </c>
      <c r="C21" s="20" t="inlineStr">
        <is>
          <t>TASK</t>
        </is>
      </c>
      <c r="D21" s="4" t="inlineStr">
        <is>
          <t>Chống mất job ở confirm→SQS + lease/quyền sở hữu</t>
        </is>
      </c>
      <c r="E21" s="20" t="inlineStr"/>
      <c r="F21" s="4" t="inlineStr">
        <is>
          <t>Thống nhất cơ chế (ví dụ gửi SQS lại khi PENDING không có job, hoặc lease/attemptCount) để không mất việc im lặng và không hai worker cùng xử lý.</t>
        </is>
      </c>
      <c r="G21" s="4" t="inlineStr">
        <is>
          <t>Ứng dụng/API + Xử lý</t>
        </is>
      </c>
      <c r="H21" s="4" t="inlineStr">
        <is>
          <t>API module D; worker consumer; DynamoDB</t>
        </is>
      </c>
      <c r="I21" s="20" t="inlineStr">
        <is>
          <t>C,D,E</t>
        </is>
      </c>
      <c r="J21" s="4" t="inlineStr">
        <is>
          <t>Ba khoảng trống được ghi rõ là 'hạ tầng SQS tự nó không giải quyết được': UpdateItem và SendMessage không nguyên tử; điều kiện status&lt;&gt;COMPLETED chưa ngăn hai worker cùng xử lý; lease/reclaim khi worker chết chưa được hợp đồng hoá.</t>
        </is>
      </c>
      <c r="K21" s="4" t="inlineStr">
        <is>
          <t>docs-cloud/3 §5.2; docs-common/3 §3.5</t>
        </is>
      </c>
      <c r="L21" s="20" t="inlineStr">
        <is>
          <t>2–3</t>
        </is>
      </c>
      <c r="M21" s="18" t="inlineStr">
        <is>
          <t>High</t>
        </is>
      </c>
      <c r="N21" s="21" t="n"/>
      <c r="O21" s="4" t="inlineStr">
        <is>
          <t>Phương</t>
        </is>
      </c>
      <c r="P21" s="4" t="inlineStr">
        <is>
          <t>Vũ</t>
        </is>
      </c>
      <c r="Q21" s="23" t="inlineStr">
        <is>
          <t>❌ Chưa chốt</t>
        </is>
      </c>
      <c r="R21" s="4" t="inlineStr">
        <is>
          <t>Người xử lý: Phương/Vũ, Cloud review - hạn M2</t>
        </is>
      </c>
      <c r="S21" s="4" t="inlineStr">
        <is>
          <t>docs-cloud/3 §10</t>
        </is>
      </c>
    </row>
    <row r="22">
      <c r="A22" s="16" t="n">
        <v>19</v>
      </c>
      <c r="B22" s="16" t="inlineStr">
        <is>
          <t>A04</t>
        </is>
      </c>
      <c r="C22" s="16" t="inlineStr">
        <is>
          <t>EPIC</t>
        </is>
      </c>
      <c r="D22" s="17" t="inlineStr">
        <is>
          <t>Hoàn thiện Worker pipeline</t>
        </is>
      </c>
      <c r="E22" s="16" t="inlineStr">
        <is>
          <t>[7], [8], [9]</t>
        </is>
      </c>
      <c r="F22" s="17" t="inlineStr">
        <is>
          <t>Heartbeat gia hạn visibility ~120s; SIGTERM trả message sớm; DLQ sau 3 lần nhận; hoàn thiện chaos-kill-worker.sh; ghép Dockerfile + make up và chạy lại kịch bản e2e trên AWS thật tới COMPLETED. Xong khi: `make chaos` chứng minh job không mất.</t>
        </is>
      </c>
      <c r="G22" s="17" t="inlineStr">
        <is>
          <t>Xử lý</t>
        </is>
      </c>
      <c r="H22" s="17" t="inlineStr">
        <is>
          <t>Go worker (FFmpeg + ffprobe) trong EC2 ASG (Spot) — module E</t>
        </is>
      </c>
      <c r="I22" s="16" t="inlineStr">
        <is>
          <t>E</t>
        </is>
      </c>
      <c r="J22" s="17" t="inlineStr">
        <is>
          <t>Module E là nơi duy nhất chạy FFmpeg, tách hẳn tầng ứng dụng để workload CPU nặng không bao giờ chặn API. Worker chỉ chạm [7] compute, [8] S3 output và [9] state — không có quyền nào khác, nên blast radius của nó nhỏ có chủ đích.</t>
        </is>
      </c>
      <c r="K22" s="17" t="inlineStr">
        <is>
          <t>sqs-job-message.schema.json; s3-key-convention.md; video-state-machine.md</t>
        </is>
      </c>
      <c r="L22" s="16" t="inlineStr">
        <is>
          <t>1–2</t>
        </is>
      </c>
      <c r="M22" s="18" t="inlineStr">
        <is>
          <t>High</t>
        </is>
      </c>
      <c r="N22" s="19" t="n">
        <v>3</v>
      </c>
      <c r="O22" s="17" t="inlineStr">
        <is>
          <t>Vũ</t>
        </is>
      </c>
      <c r="P22" s="17" t="inlineStr">
        <is>
          <t>Phương (message/lease), Lưu (Dockerfile, make up)</t>
        </is>
      </c>
      <c r="Q22" s="17" t="inlineStr">
        <is>
          <t>✅ Phần lớn đã xong, có bằng chứng: 1.427 dòng Go / 9 package, POC FFmpeg phát được qua hls.js, full path LocalStack COMPLETED 3555ms, idempotency skipped_completed, make test xanh; ❌ heartbeat/DLQ/chaos/Dockerfile chưa có</t>
        </is>
      </c>
      <c r="R22" s="17" t="inlineStr">
        <is>
          <t>3 pd chỉ đúng nếu ghép Docker (A07) mượt; heartbeat trễ làm chaos test (A11) không có ý nghĩa</t>
        </is>
      </c>
      <c r="S22" s="17" t="inlineStr">
        <is>
          <t>Progress 2 §3.2 dòng A04; docs-worker/work/Week1.md §5–6; docs-worker/3 §3.3, §3.10</t>
        </is>
      </c>
    </row>
    <row r="23">
      <c r="A23" s="20" t="n">
        <v>20</v>
      </c>
      <c r="B23" s="20" t="inlineStr">
        <is>
          <t>A04.1</t>
        </is>
      </c>
      <c r="C23" s="20" t="inlineStr">
        <is>
          <t>TASK</t>
        </is>
      </c>
      <c r="D23" s="4" t="inlineStr">
        <is>
          <t>POC FFmpeg: 2 rendition + master playlist + thumbnail</t>
        </is>
      </c>
      <c r="E23" s="20" t="inlineStr"/>
      <c r="F23" s="4" t="inlineStr">
        <is>
          <t>Một lần chạy sinh hls/360p + hls/720p + segment; master.m3u8 viết tay (RESOLUTION từ ffprobe); thumb -ss 1, fallback -ss 0. Bằng chứng: phát thật qua master playlist.</t>
        </is>
      </c>
      <c r="G23" s="4" t="inlineStr">
        <is>
          <t>Xử lý</t>
        </is>
      </c>
      <c r="H23" s="4" t="inlineStr">
        <is>
          <t>FFmpeg; đầu ra HLS phục vụ CloudFront /media/*</t>
        </is>
      </c>
      <c r="I23" s="20" t="inlineStr">
        <is>
          <t>E</t>
        </is>
      </c>
      <c r="J23" s="4" t="inlineStr">
        <is>
          <t>Định dạng đầu ra chính là hợp đồng với tầng Edge: master playlist tham chiếu playlist tương đối nên segment phải giữ đường dẫn tương đối, nếu không player nhận URL sai khi đi qua rewrite /media.</t>
        </is>
      </c>
      <c r="K23" s="4" t="inlineStr">
        <is>
          <t>docs-worker/3 §3.5</t>
        </is>
      </c>
      <c r="L23" s="20" t="inlineStr">
        <is>
          <t>1–2</t>
        </is>
      </c>
      <c r="M23" s="18" t="inlineStr">
        <is>
          <t>High</t>
        </is>
      </c>
      <c r="N23" s="21" t="n"/>
      <c r="O23" s="4" t="inlineStr">
        <is>
          <t>Vũ</t>
        </is>
      </c>
      <c r="P23" s="4" t="inlineStr"/>
      <c r="Q23" s="24" t="inlineStr">
        <is>
          <t>✅ Hoàn thành, có bằng chứng (hls.js: MANIFEST_PARSED 2 level, phát hết 9,17 s)</t>
        </is>
      </c>
      <c r="R23" s="4" t="inlineStr"/>
      <c r="S23" s="4" t="inlineStr">
        <is>
          <t>docs-worker/work/Week1.md §3 ngày 2, §6</t>
        </is>
      </c>
    </row>
    <row r="24">
      <c r="A24" s="20" t="n">
        <v>21</v>
      </c>
      <c r="B24" s="20" t="inlineStr">
        <is>
          <t>A04.2</t>
        </is>
      </c>
      <c r="C24" s="20" t="inlineStr">
        <is>
          <t>TASK</t>
        </is>
      </c>
      <c r="D24" s="4" t="inlineStr">
        <is>
          <t>Tối ưu chi phí CPU: split, preset veryfast, không 1080p</t>
        </is>
      </c>
      <c r="E24" s="20" t="inlineStr"/>
      <c r="F24" s="4" t="inlineStr">
        <is>
          <t>scale=-2:{360,720}, không upscale nguồn ≤ 360; timeout FFmpeg 15 phút → FAILED_TRANSCODE/FFMPEG_TIMEOUT.</t>
        </is>
      </c>
      <c r="G24" s="4" t="inlineStr">
        <is>
          <t>Xử lý</t>
        </is>
      </c>
      <c r="H24" s="4" t="inlineStr">
        <is>
          <t>FFmpeg trên máy 2 vCPU (Spot)</t>
        </is>
      </c>
      <c r="I24" s="20" t="inlineStr">
        <is>
          <t>E</t>
        </is>
      </c>
      <c r="J24" s="4" t="inlineStr">
        <is>
          <t>Lựa chọn này là biến chi phí của kiến trúc: giảm số lần giải mã quyết định số vCPU cần cho một job, từ đó quyết định loại máy Spot, chi phí benchmark và thời gian cold start. 1080p hạ xuống P1 để giữ cân đối tải.</t>
        </is>
      </c>
      <c r="K24" s="4" t="inlineStr">
        <is>
          <t>docs-worker/3 §3.5; upload-limits.md</t>
        </is>
      </c>
      <c r="L24" s="20" t="inlineStr">
        <is>
          <t>1–2</t>
        </is>
      </c>
      <c r="M24" s="18" t="inlineStr">
        <is>
          <t>High</t>
        </is>
      </c>
      <c r="N24" s="21" t="n"/>
      <c r="O24" s="4" t="inlineStr">
        <is>
          <t>Vũ</t>
        </is>
      </c>
      <c r="P24" s="4" t="inlineStr"/>
      <c r="Q24" s="24" t="inlineStr">
        <is>
          <t>✅ Hoàn thành (bằng chứng: nguồn 640x360 ra 2 rendition 640x360, exit 0)</t>
        </is>
      </c>
      <c r="R24" s="4" t="inlineStr"/>
      <c r="S24" s="4" t="inlineStr">
        <is>
          <t>docs-worker/work/Week1.md §6; docs-common/1 §1.6</t>
        </is>
      </c>
    </row>
    <row r="25">
      <c r="A25" s="20" t="n">
        <v>22</v>
      </c>
      <c r="B25" s="20" t="inlineStr">
        <is>
          <t>A04.3</t>
        </is>
      </c>
      <c r="C25" s="20" t="inlineStr">
        <is>
          <t>TASK</t>
        </is>
      </c>
      <c r="D25" s="4" t="inlineStr">
        <is>
          <t>ffprobe validate → FAILED_VALIDATION</t>
        </is>
      </c>
      <c r="E25" s="20" t="inlineStr"/>
      <c r="F25" s="4" t="inlineStr">
        <is>
          <t>Bốn kiểm: NOT_A_VIDEO, CODEC_UNSUPPORTED, DURATION_EXCEEDED, HEIGHT_EXCEEDED; validate fail thì ACK message, không retry.</t>
        </is>
      </c>
      <c r="G25" s="4" t="inlineStr">
        <is>
          <t>Xử lý + Dữ liệu</t>
        </is>
      </c>
      <c r="H25" s="4" t="inlineStr">
        <is>
          <t>worker internal/validate; DynamoDB status</t>
        </is>
      </c>
      <c r="I25" s="20" t="inlineStr">
        <is>
          <t>E,D</t>
        </is>
      </c>
      <c r="J25" s="4" t="inlineStr">
        <is>
          <t>Là lớp kiểm tra cuối của chuỗi bảo vệ giới hạn upload và là chỗ phân nhánh ngữ nghĩa của state machine: lỗi nghiệp vụ thì ACK ngay, lỗi hệ thống thì để SQS retry - phân biệt sai sẽ gây retry vô nghĩa hoặc DLQ đầy.</t>
        </is>
      </c>
      <c r="K25" s="4" t="inlineStr">
        <is>
          <t>upload-limits.md; video-state-machine.md</t>
        </is>
      </c>
      <c r="L25" s="20" t="inlineStr">
        <is>
          <t>1–2</t>
        </is>
      </c>
      <c r="M25" s="18" t="inlineStr">
        <is>
          <t>High</t>
        </is>
      </c>
      <c r="N25" s="21" t="n"/>
      <c r="O25" s="4" t="inlineStr">
        <is>
          <t>Vũ</t>
        </is>
      </c>
      <c r="P25" s="4" t="inlineStr">
        <is>
          <t>Phương</t>
        </is>
      </c>
      <c r="Q25" s="24" t="inlineStr">
        <is>
          <t>✅ Hoàn thành, chặn đúng 4 ca (301 s / 1440p / file giả / không audio)</t>
        </is>
      </c>
      <c r="R25" s="4" t="inlineStr">
        <is>
          <t>Danh sách codec còn chờ chốt trong A1</t>
        </is>
      </c>
      <c r="S25" s="4" t="inlineStr">
        <is>
          <t>docs-worker/3 §3.4; Week1 §6 ngày 2</t>
        </is>
      </c>
    </row>
    <row r="26">
      <c r="A26" s="20" t="n">
        <v>23</v>
      </c>
      <c r="B26" s="20" t="inlineStr">
        <is>
          <t>A04.4</t>
        </is>
      </c>
      <c r="C26" s="20" t="inlineStr">
        <is>
          <t>TASK</t>
        </is>
      </c>
      <c r="D26" s="4" t="inlineStr">
        <is>
          <t>Consumer SQS + storage S3 + state DynamoDB + cleanup</t>
        </is>
      </c>
      <c r="E26" s="20" t="inlineStr"/>
      <c r="F26" s="4" t="inlineStr">
        <is>
          <t>ReceiveMessage long polling 20 s; upload trước khi ghi COMPLETED; UpdateItem ConditionExpression status&lt;&gt;COMPLETED; Content-Type đúng cho .m3u8/.ts/.jpg; defer cleanup + quét thư mục mồ côi lúc boot.</t>
        </is>
      </c>
      <c r="G26" s="4" t="inlineStr">
        <is>
          <t>Xử lý + Dữ liệu</t>
        </is>
      </c>
      <c r="H26" s="4" t="inlineStr">
        <is>
          <t>worker internal/{consumer,storage,state,job}; S3 2 bucket; DynamoDB</t>
        </is>
      </c>
      <c r="I26" s="20" t="inlineStr">
        <is>
          <t>E,B,D</t>
        </is>
      </c>
      <c r="J26" s="4" t="inlineStr">
        <is>
          <t>Thứ tự 'upload đủ object rồi mới ghi COMPLETED rồi mới ACK' là bất biến đúng đắn của toàn pipeline: nếu đảo, API sẽ trả link tới asset chưa tồn tại. Conditional write là cơ chế chống hai worker ghi đè lên kết quả đã hoàn tất.</t>
        </is>
      </c>
      <c r="K26" s="4" t="inlineStr">
        <is>
          <t>s3-key-convention.md; dynamodb-tables.md; docs-worker/5</t>
        </is>
      </c>
      <c r="L26" s="20" t="inlineStr">
        <is>
          <t>1–2</t>
        </is>
      </c>
      <c r="M26" s="18" t="inlineStr">
        <is>
          <t>High</t>
        </is>
      </c>
      <c r="N26" s="21" t="n"/>
      <c r="O26" s="4" t="inlineStr">
        <is>
          <t>Vũ</t>
        </is>
      </c>
      <c r="P26" s="4" t="inlineStr"/>
      <c r="Q26" s="24" t="inlineStr">
        <is>
          <t>✅ Hoàn thành trên LocalStack (job_finished COMPLETED 3555 ms, 8 object, attemptCount đúng)</t>
        </is>
      </c>
      <c r="R26" s="4" t="inlineStr">
        <is>
          <t>Chưa kiểm chứng trên AWS (M2)</t>
        </is>
      </c>
      <c r="S26" s="4" t="inlineStr">
        <is>
          <t>docs-worker/work/Week1.md §3 ngày 3, §6</t>
        </is>
      </c>
    </row>
    <row r="27">
      <c r="A27" s="20" t="n">
        <v>24</v>
      </c>
      <c r="B27" s="20" t="inlineStr">
        <is>
          <t>A04.5</t>
        </is>
      </c>
      <c r="C27" s="20" t="inlineStr">
        <is>
          <t>TASK</t>
        </is>
      </c>
      <c r="D27" s="4" t="inlineStr">
        <is>
          <t>Ghép Dockerfile + make up, chạy lại kịch bản e2e qua compose</t>
        </is>
      </c>
      <c r="E27" s="20" t="inlineStr"/>
      <c r="F27" s="4" t="inlineStr">
        <is>
          <t>Image worker có ffmpeg+ffprobe trong PATH; chạy đủ chuỗi upload → COMPLETED qua nginx :8000.</t>
        </is>
      </c>
      <c r="G27" s="4" t="inlineStr">
        <is>
          <t>Xử lý + Hạ tầng</t>
        </is>
      </c>
      <c r="H27" s="4" t="inlineStr">
        <is>
          <t>container tvc-worker; docker-compose profile full; nginx edge</t>
        </is>
      </c>
      <c r="I27" s="20" t="inlineStr">
        <is>
          <t>E,G</t>
        </is>
      </c>
      <c r="J27" s="4" t="inlineStr">
        <is>
          <t>Là điểm hợp nhất nguyên tắc 'cùng code, khác cấu hình': chính image đã chạy local phải chạy được trên ECR/EC2, chỉ khác AWS_ENDPOINT_URL. Không có Dockerfile thì M1/M2 không có bằng chứng end-to-end.</t>
        </is>
      </c>
      <c r="K27" s="4" t="inlineStr">
        <is>
          <t>docs-common/1 §1.4; docker-compose.yml</t>
        </is>
      </c>
      <c r="L27" s="20" t="inlineStr">
        <is>
          <t>1–2</t>
        </is>
      </c>
      <c r="M27" s="18" t="inlineStr">
        <is>
          <t>High</t>
        </is>
      </c>
      <c r="N27" s="21" t="n"/>
      <c r="O27" s="4" t="inlineStr">
        <is>
          <t>Vũ</t>
        </is>
      </c>
      <c r="P27" s="4" t="inlineStr">
        <is>
          <t>Lưu (C0.2)</t>
        </is>
      </c>
      <c r="Q27" s="23" t="inlineStr">
        <is>
          <t>❌ Chưa có Dockerfile trong repo</t>
        </is>
      </c>
      <c r="R27" s="4" t="inlineStr">
        <is>
          <t>Bị chặn bởi C0.2; là tiêu chí 'Xong khi' của epic A4</t>
        </is>
      </c>
      <c r="S27" s="4" t="inlineStr">
        <is>
          <t>docs-worker/4 §6.3; docs-cloud/4 §4.1</t>
        </is>
      </c>
    </row>
    <row r="28">
      <c r="A28" s="20" t="n">
        <v>25</v>
      </c>
      <c r="B28" s="20" t="inlineStr">
        <is>
          <t>A04.6</t>
        </is>
      </c>
      <c r="C28" s="20" t="inlineStr">
        <is>
          <t>TASK</t>
        </is>
      </c>
      <c r="D28" s="4" t="inlineStr">
        <is>
          <t>Heartbeat gia hạn visibility ~120 s</t>
        </is>
      </c>
      <c r="E28" s="20" t="inlineStr"/>
      <c r="F28" s="4" t="inlineStr">
        <is>
          <t>Goroutine ChangeMessageVisibility đặt lại ~300 s mỗi 120 s trong lúc FFmpeg chạy; thử job dài hơn timeout ban đầu.</t>
        </is>
      </c>
      <c r="G28" s="4" t="inlineStr">
        <is>
          <t>Xử lý</t>
        </is>
      </c>
      <c r="H28" s="4" t="inlineStr">
        <is>
          <t>SQS ChangeMessageVisibility; worker internal/consumer</t>
        </is>
      </c>
      <c r="I28" s="20" t="inlineStr">
        <is>
          <t>E,D</t>
        </is>
      </c>
      <c r="J28" s="4" t="inlineStr">
        <is>
          <t>Visibility 300 s là cấu hình khởi điểm chứ không phải deadline transcode. Không heartbeat thì job dài sẽ bị nhận đôi - vi phạm quyền sở hữu job và làm hỏng mọi phép đo benchmark.</t>
        </is>
      </c>
      <c r="K28" s="4" t="inlineStr">
        <is>
          <t>docs-worker/3 §3.3 bước 4; docs-cloud/3 §5.2</t>
        </is>
      </c>
      <c r="L28" s="20" t="inlineStr">
        <is>
          <t>1–2</t>
        </is>
      </c>
      <c r="M28" s="18" t="inlineStr">
        <is>
          <t>High</t>
        </is>
      </c>
      <c r="N28" s="21" t="n"/>
      <c r="O28" s="4" t="inlineStr">
        <is>
          <t>Vũ</t>
        </is>
      </c>
      <c r="P28" s="4" t="inlineStr">
        <is>
          <t>Phương (lease/ownership)</t>
        </is>
      </c>
      <c r="Q28" s="23" t="inlineStr">
        <is>
          <t>❌ Chưa làm - config TVC_HEARTBEAT_INTERVAL đã có nhưng consumer ghi rõ 'Heartbeat thuộc Sprint 2'</t>
        </is>
      </c>
      <c r="R28" s="4" t="inlineStr">
        <is>
          <t>Điểm mở cần chốt với A5.5</t>
        </is>
      </c>
      <c r="S28" s="4" t="inlineStr">
        <is>
          <t>docs-worker/3 §3.8; code worker/internal/consumer/consumer.go</t>
        </is>
      </c>
    </row>
    <row r="29">
      <c r="A29" s="20" t="n">
        <v>26</v>
      </c>
      <c r="B29" s="20" t="inlineStr">
        <is>
          <t>A04.7</t>
        </is>
      </c>
      <c r="C29" s="20" t="inlineStr">
        <is>
          <t>TASK</t>
        </is>
      </c>
      <c r="D29" s="4" t="inlineStr">
        <is>
          <t>SIGTERM: ngừng poll, trả message, dọn file tạm</t>
        </is>
      </c>
      <c r="E29" s="20" t="inlineStr"/>
      <c r="F29" s="4" t="inlineStr">
        <is>
          <t>Bắt SIGTERM/SIGINT → không ReceiveMessage mới → đặt visibility về ~30 s → bỏ upload dở → cleanup → exit 0.</t>
        </is>
      </c>
      <c r="G29" s="4" t="inlineStr">
        <is>
          <t>Xử lý + Hạ tầng</t>
        </is>
      </c>
      <c r="H29" s="4" t="inlineStr">
        <is>
          <t>worker internal/shutdown; EC2 Spot 2-min interruption; ASG</t>
        </is>
      </c>
      <c r="I29" s="20" t="inlineStr">
        <is>
          <t>E,G</t>
        </is>
      </c>
      <c r="J29" s="4" t="inlineStr">
        <is>
          <t>Spot chỉ báo trước ~2 phút trong khi một job 720p có thể lâu hơn, nên chiến lược 'trả message ngay' (không cố chạy nốt) là điều kiện để dùng Spot rẻ. ASG ScaleInProtectedInstances=Wait không thay thế được cơ chế này.</t>
        </is>
      </c>
      <c r="K29" s="4" t="inlineStr">
        <is>
          <t>docs-worker/3 §3.10; introduction/1 §8.3</t>
        </is>
      </c>
      <c r="L29" s="20" t="inlineStr">
        <is>
          <t>1–2</t>
        </is>
      </c>
      <c r="M29" s="18" t="inlineStr">
        <is>
          <t>High</t>
        </is>
      </c>
      <c r="N29" s="21" t="n"/>
      <c r="O29" s="4" t="inlineStr">
        <is>
          <t>Vũ</t>
        </is>
      </c>
      <c r="P29" s="4" t="inlineStr">
        <is>
          <t>Nguyên (Spot/ASG)</t>
        </is>
      </c>
      <c r="Q29" s="22" t="inlineStr">
        <is>
          <t>⭕ internal/shutdown đã dừng vòng nhận và exit 0; chưa trả message về queue</t>
        </is>
      </c>
      <c r="R29" s="4" t="inlineStr">
        <is>
          <t>Phối hợp C3.3/C5.6 theo bảng đồng bộ Sprint 2-3</t>
        </is>
      </c>
      <c r="S29" s="4" t="inlineStr">
        <is>
          <t>docs-worker/work/Week1.md §6 ngày 3; docs-worker/3 §3.10</t>
        </is>
      </c>
    </row>
    <row r="30">
      <c r="A30" s="20" t="n">
        <v>27</v>
      </c>
      <c r="B30" s="20" t="inlineStr">
        <is>
          <t>A04.8</t>
        </is>
      </c>
      <c r="C30" s="20" t="inlineStr">
        <is>
          <t>TASK</t>
        </is>
      </c>
      <c r="D30" s="4" t="inlineStr">
        <is>
          <t>Idempotency + phân loại FAILED_* + conditional write</t>
        </is>
      </c>
      <c r="E30" s="20" t="inlineStr"/>
      <c r="F30" s="4" t="inlineStr">
        <is>
          <t>Video đã COMPLETED → bỏ qua, xóa message; không ghi đè COMPLETED; FAILED_VALIDATION ACK, FAILED_TRANSCODE/STORAGE để retry.</t>
        </is>
      </c>
      <c r="G30" s="4" t="inlineStr">
        <is>
          <t>Xử lý + Dữ liệu</t>
        </is>
      </c>
      <c r="H30" s="4" t="inlineStr">
        <is>
          <t>DynamoDB UpdateItem có điều kiện; SQS ACK</t>
        </is>
      </c>
      <c r="I30" s="20" t="inlineStr">
        <is>
          <t>E,D</t>
        </is>
      </c>
      <c r="J30" s="4" t="inlineStr">
        <is>
          <t>Là chốt an toàn duy nhất chống hai kết quả mâu thuẫn khi message được giao lại (at-least-once). Worker không có quyền sửa bảng user/project/apikey nên DynamoDB videos là nơi duy nhất nó ghi - thu nhỏ blast radius.</t>
        </is>
      </c>
      <c r="K30" s="4" t="inlineStr">
        <is>
          <t>video-state-machine.md; docs-common/3 §3.3</t>
        </is>
      </c>
      <c r="L30" s="20" t="inlineStr">
        <is>
          <t>1–2</t>
        </is>
      </c>
      <c r="M30" s="18" t="inlineStr">
        <is>
          <t>High</t>
        </is>
      </c>
      <c r="N30" s="21" t="n"/>
      <c r="O30" s="4" t="inlineStr">
        <is>
          <t>Vũ</t>
        </is>
      </c>
      <c r="P30" s="4" t="inlineStr"/>
      <c r="Q30" s="24" t="inlineStr">
        <is>
          <t>✅ Hoàn thành, có bằng chứng (skipped_completed, attemptCount không tăng)</t>
        </is>
      </c>
      <c r="R30" s="4" t="inlineStr"/>
      <c r="S30" s="4" t="inlineStr">
        <is>
          <t>docs-worker/work/Week1.md §5, §6 ngày 3</t>
        </is>
      </c>
    </row>
    <row r="31">
      <c r="A31" s="20" t="n">
        <v>28</v>
      </c>
      <c r="B31" s="20" t="inlineStr">
        <is>
          <t>A04.9</t>
        </is>
      </c>
      <c r="C31" s="20" t="inlineStr">
        <is>
          <t>TASK</t>
        </is>
      </c>
      <c r="D31" s="4" t="inlineStr">
        <is>
          <t>DLQ sau 3 lần nhận + hoàn thiện chaos-kill-worker.sh</t>
        </is>
      </c>
      <c r="E31" s="20" t="inlineStr"/>
      <c r="F31" s="4" t="inlineStr">
        <is>
          <t>Kill worker giữa job → job nhận lại và hoàn tất; lỗi lặp lại → message vào DLQ; ghi receive count và kết quả thực.</t>
        </is>
      </c>
      <c r="G31" s="4" t="inlineStr">
        <is>
          <t>Xử lý + Dữ liệu + Kiểm chứng</t>
        </is>
      </c>
      <c r="H31" s="4" t="inlineStr">
        <is>
          <t>SQS redrive (maxReceiveCount 3) + DLQ; local/scripts/chaos-kill-worker.sh</t>
        </is>
      </c>
      <c r="I31" s="20" t="inlineStr">
        <is>
          <t>E,D,H</t>
        </is>
      </c>
      <c r="J31" s="4" t="inlineStr">
        <is>
          <t>DLQ là bằng chứng vận hành của cả hai mục tiêu môn học (phục hồi lỗi và chi phí) - nếu không có phép thử này thì 'retry' chỉ là tuyên bố trong tài liệu. Init local đã đặt maxReceiveCount 3 nhưng chưa từng được kiểm chứng.</t>
        </is>
      </c>
      <c r="K31" s="4" t="inlineStr">
        <is>
          <t>docs-cloud/4 §5; docs-worker/3 §3.13</t>
        </is>
      </c>
      <c r="L31" s="20" t="inlineStr">
        <is>
          <t>1–2</t>
        </is>
      </c>
      <c r="M31" s="18" t="inlineStr">
        <is>
          <t>High</t>
        </is>
      </c>
      <c r="N31" s="21" t="n"/>
      <c r="O31" s="4" t="inlineStr">
        <is>
          <t>Vũ</t>
        </is>
      </c>
      <c r="P31" s="4" t="inlineStr">
        <is>
          <t>Lưu (chủ trì chaos)</t>
        </is>
      </c>
      <c r="Q31" s="23" t="inlineStr">
        <is>
          <t>❌ make chaos vẫn in 'chưa triển khai'</t>
        </is>
      </c>
      <c r="R31" s="4" t="inlineStr">
        <is>
          <t>Hạn chế: chưa rõ ai đồng bộ trạng thái khi message vào DLQ - cần App chốt</t>
        </is>
      </c>
      <c r="S31" s="4" t="inlineStr">
        <is>
          <t>docs-common/2 §2.2; docs-cloud/3 §5.2</t>
        </is>
      </c>
    </row>
    <row r="32">
      <c r="A32" s="16" t="n">
        <v>29</v>
      </c>
      <c r="B32" s="16" t="inlineStr">
        <is>
          <t>A05</t>
        </is>
      </c>
      <c r="C32" s="16" t="inlineStr">
        <is>
          <t>EPIC</t>
        </is>
      </c>
      <c r="D32" s="17" t="inlineStr">
        <is>
          <t>Xây dựng giao diện người dùng</t>
        </is>
      </c>
      <c r="E32" s="16" t="inlineStr">
        <is>
          <t>[1], [2], [4], [10]</t>
        </is>
      </c>
      <c r="F32" s="17" t="inlineStr">
        <is>
          <t>Vite + React + TypeScript theo design token; đăng nhập + project; upload presigned có progress; danh sách video với badge đủ 7 trạng thái + polling; trình phát hls.js + link streaming. Xong khi: một người dùng thật upload và xem được video qua CloudFront.</t>
        </is>
      </c>
      <c r="G32" s="17" t="inlineStr">
        <is>
          <t>Trình bày</t>
        </is>
      </c>
      <c r="H32" s="17" t="inlineStr">
        <is>
          <t>React + Vite (hosting S3/CloudFront), hls.js, lớp mock MSW → API thật</t>
        </is>
      </c>
      <c r="I32" s="16" t="inlineStr">
        <is>
          <t>A,B,C,F (phía trình bày)</t>
        </is>
      </c>
      <c r="J32" s="17" t="inlineStr">
        <is>
          <t>Tầng trình bày nằm ngoài mọi boundary AWS: gọi [1] cho trang, [2] cho /api/* qua Tunnel, [4] PUT thẳng vào S3 (phần CORS không mock được) và [10] cho /media/* HLS. Vì vậy UI chỉ được nói chuyện với một interface duy nhất; đổi mock → real không được sửa logic UI.</t>
        </is>
      </c>
      <c r="K32" s="17" t="inlineStr">
        <is>
          <t>openapi.yaml; video-state-machine.md; docs/contracts/README.md</t>
        </is>
      </c>
      <c r="L32" s="16" t="inlineStr">
        <is>
          <t>2–3</t>
        </is>
      </c>
      <c r="M32" s="18" t="inlineStr">
        <is>
          <t>High</t>
        </is>
      </c>
      <c r="N32" s="19" t="n">
        <v>4</v>
      </c>
      <c r="O32" s="17" t="inlineStr">
        <is>
          <t>Vũ</t>
        </is>
      </c>
      <c r="P32" s="17" t="inlineStr">
        <is>
          <t>Phương (hợp đồng response), Lưu (hosting bucket frontend)</t>
        </is>
      </c>
      <c r="Q32" s="17" t="inlineStr">
        <is>
          <t>❌ frontend/ chỉ có README; chiến lược mock-first (MSW + VITE_API_MODE) đã duyệt trong docs-frontend/work/Week1.md</t>
        </is>
      </c>
      <c r="R32" s="17" t="inlineStr">
        <is>
          <t>Trang embed/mã nhúng là lever cắt ~0,5 pd; hợp nhất mock ↔ real dồn cuối sprint 3</t>
        </is>
      </c>
      <c r="S32" s="17" t="inlineStr">
        <is>
          <t>Progress 2 §3.2 dòng A05; docs-frontend/2 Timelines; docs-frontend/work/Week1.md</t>
        </is>
      </c>
    </row>
    <row r="33">
      <c r="A33" s="20" t="n">
        <v>30</v>
      </c>
      <c r="B33" s="20" t="inlineStr">
        <is>
          <t>A05.1</t>
        </is>
      </c>
      <c r="C33" s="20" t="inlineStr">
        <is>
          <t>TASK</t>
        </is>
      </c>
      <c r="D33" s="4" t="inlineStr">
        <is>
          <t>F1 Dựng khung project (Vite+React+TS, token, router)</t>
        </is>
      </c>
      <c r="E33" s="20" t="inlineStr"/>
      <c r="F33" s="4" t="inlineStr">
        <is>
          <t>Dev server 5173 qua nginx :8000; áp variables.css (không hex trong JSX); sidebar 240 px + header 56 px; route /login, /projects, /projects/:id/videos, /videos/:id, /embed.</t>
        </is>
      </c>
      <c r="G33" s="4" t="inlineStr">
        <is>
          <t>Trình bày</t>
        </is>
      </c>
      <c r="H33" s="4" t="inlineStr">
        <is>
          <t>frontend/src; design token Frontend template</t>
        </is>
      </c>
      <c r="I33" s="20" t="inlineStr">
        <is>
          <t>F</t>
        </is>
      </c>
      <c r="J33" s="4" t="inlineStr">
        <is>
          <t>Tuân thủ Do's &amp; Don'ts của design system là điều kiện để báo cáo trình bày UI nhất quán; mọi giá trị thị giác đi qua token nên đổi theme không đụng code.</t>
        </is>
      </c>
      <c r="K33" s="4" t="inlineStr">
        <is>
          <t>Frontend template/tokens.json; docs-frontend/4</t>
        </is>
      </c>
      <c r="L33" s="20" t="inlineStr">
        <is>
          <t>2–3</t>
        </is>
      </c>
      <c r="M33" s="18" t="inlineStr">
        <is>
          <t>High</t>
        </is>
      </c>
      <c r="N33" s="21" t="n"/>
      <c r="O33" s="4" t="inlineStr">
        <is>
          <t>Vũ</t>
        </is>
      </c>
      <c r="P33" s="4" t="inlineStr"/>
      <c r="Q33" s="23" t="inlineStr">
        <is>
          <t>❌ Chưa có</t>
        </is>
      </c>
      <c r="R33" s="4" t="inlineStr">
        <is>
          <t>Không phụ thuộc backend - làm ngay được</t>
        </is>
      </c>
      <c r="S33" s="4" t="inlineStr">
        <is>
          <t>docs-frontend/2 §1; docs-frontend/work/Week1.md</t>
        </is>
      </c>
    </row>
    <row r="34">
      <c r="A34" s="20" t="n">
        <v>31</v>
      </c>
      <c r="B34" s="20" t="inlineStr">
        <is>
          <t>A05.2</t>
        </is>
      </c>
      <c r="C34" s="20" t="inlineStr">
        <is>
          <t>TASK</t>
        </is>
      </c>
      <c r="D34" s="4" t="inlineStr">
        <is>
          <t>F2 Đăng nhập + project (kèm mock API layer MSW)</t>
        </is>
      </c>
      <c r="E34" s="20" t="inlineStr"/>
      <c r="F34" s="4" t="inlineStr">
        <is>
          <t>Interface duy nhất cho auth/projects/videos sinh từ openapi.yaml; hai implementation mock/real chọn bằng VITE_API_MODE; fixture đủ 7 trạng thái; lỗi 401/413/422; route guard.</t>
        </is>
      </c>
      <c r="G34" s="4" t="inlineStr">
        <is>
          <t>Trình bày + Ứng dụng/API</t>
        </is>
      </c>
      <c r="H34" s="4" t="inlineStr">
        <is>
          <t>MSW handlers; Spring Boot module A (khi hợp nhất)</t>
        </is>
      </c>
      <c r="I34" s="20" t="inlineStr">
        <is>
          <t>F,A</t>
        </is>
      </c>
      <c r="J34" s="4" t="inlineStr">
        <is>
          <t>Mock layer trung thành với contract là cách frontend chạy độc lập mà vẫn không tự bịa API: giả định phải ghi vào 5. API Integration.md nhãn 'chờ Phương xác nhận', thiếu contract thì mở PR contract chứ không code chui.</t>
        </is>
      </c>
      <c r="K34" s="4" t="inlineStr">
        <is>
          <t>docs/contracts/openapi.yaml; docs-frontend/5</t>
        </is>
      </c>
      <c r="L34" s="20" t="inlineStr">
        <is>
          <t>2–3</t>
        </is>
      </c>
      <c r="M34" s="18" t="inlineStr">
        <is>
          <t>High</t>
        </is>
      </c>
      <c r="N34" s="21" t="n"/>
      <c r="O34" s="4" t="inlineStr">
        <is>
          <t>Vũ</t>
        </is>
      </c>
      <c r="P34" s="4" t="inlineStr">
        <is>
          <t>Phương (xác nhận giả định)</t>
        </is>
      </c>
      <c r="Q34" s="23" t="inlineStr">
        <is>
          <t>❌ Chưa có</t>
        </is>
      </c>
      <c r="R34" s="4" t="inlineStr">
        <is>
          <t>Hợp nhất backend thật dự kiến tuần 9</t>
        </is>
      </c>
      <c r="S34" s="4" t="inlineStr">
        <is>
          <t>docs-frontend/work/Week1.md buổi 2</t>
        </is>
      </c>
    </row>
    <row r="35">
      <c r="A35" s="20" t="n">
        <v>32</v>
      </c>
      <c r="B35" s="20" t="inlineStr">
        <is>
          <t>A05.3</t>
        </is>
      </c>
      <c r="C35" s="20" t="inlineStr">
        <is>
          <t>TASK</t>
        </is>
      </c>
      <c r="D35" s="4" t="inlineStr">
        <is>
          <t>F3 Upload bằng presigned URL</t>
        </is>
      </c>
      <c r="E35" s="20" t="inlineStr"/>
      <c r="F35" s="4" t="inlineStr">
        <is>
          <t>Kiểm tra client ≤ 200 MB, mp4/mov/mkv/webm; khai báo sizeBytes/contentType → PUT bằng XMLHttpRequest để có progress → confirm; mock mô phỏng tự chuyển PENDING→COMPLETED.</t>
        </is>
      </c>
      <c r="G35" s="4" t="inlineStr">
        <is>
          <t>Trình bày + Dữ liệu</t>
        </is>
      </c>
      <c r="H35" s="4" t="inlineStr">
        <is>
          <t>S3 input presigned PUT; API module C; CORS</t>
        </is>
      </c>
      <c r="I35" s="20" t="inlineStr">
        <is>
          <t>F,C</t>
        </is>
      </c>
      <c r="J35" s="4" t="inlineStr">
        <is>
          <t>Kiểm tra phía client chỉ để UX, không phải lớp bảo vệ - nguồn sự thật là upload-limits.md ở API/worker. Đây cũng là nơi dễ lệch nhất khi hợp nhất: CORS, SignatureDoesNotMatch, Content-Length là những hành vi S3 thật không mock được.</t>
        </is>
      </c>
      <c r="K35" s="4" t="inlineStr">
        <is>
          <t>upload-limits.md; s3-key-convention.md</t>
        </is>
      </c>
      <c r="L35" s="20" t="inlineStr">
        <is>
          <t>2–3</t>
        </is>
      </c>
      <c r="M35" s="18" t="inlineStr">
        <is>
          <t>High</t>
        </is>
      </c>
      <c r="N35" s="21" t="n"/>
      <c r="O35" s="4" t="inlineStr">
        <is>
          <t>Vũ</t>
        </is>
      </c>
      <c r="P35" s="4" t="inlineStr">
        <is>
          <t>Phương (A3.1), Lưu (CORS C1.2)</t>
        </is>
      </c>
      <c r="Q35" s="23" t="inlineStr">
        <is>
          <t>❌ Chưa có</t>
        </is>
      </c>
      <c r="R35" s="4" t="inlineStr">
        <is>
          <t>Nợ kỹ thuật tuần 9: hành vi S3 thật</t>
        </is>
      </c>
      <c r="S35" s="4" t="inlineStr">
        <is>
          <t>docs-frontend/work/Week1.md buổi 3; §4</t>
        </is>
      </c>
    </row>
    <row r="36">
      <c r="A36" s="20" t="n">
        <v>33</v>
      </c>
      <c r="B36" s="20" t="inlineStr">
        <is>
          <t>A05.4</t>
        </is>
      </c>
      <c r="C36" s="20" t="inlineStr">
        <is>
          <t>TASK</t>
        </is>
      </c>
      <c r="D36" s="4" t="inlineStr">
        <is>
          <t>F4 Danh sách video + trạng thái (polling)</t>
        </is>
      </c>
      <c r="E36" s="20" t="inlineStr"/>
      <c r="F36" s="4" t="inlineStr">
        <is>
          <t>Danh sách theo project, badge theo state machine; poll GET /videos/{id} mỗi 3-5 s khi PENDING/PROCESSING.</t>
        </is>
      </c>
      <c r="G36" s="4" t="inlineStr">
        <is>
          <t>Trình bày + Ứng dụng/API</t>
        </is>
      </c>
      <c r="H36" s="4" t="inlineStr">
        <is>
          <t>API module B (A2.4, A3.3)</t>
        </is>
      </c>
      <c r="I36" s="20" t="inlineStr">
        <is>
          <t>F,B</t>
        </is>
      </c>
      <c r="J36" s="4" t="inlineStr">
        <is>
          <t>UI phản ánh trực tiếp state machine dùng chung với worker; vì MVP không có webhook nên polling là cơ chế duy nhất đưa trạng thái từ tầng Xử lý về người dùng.</t>
        </is>
      </c>
      <c r="K36" s="4" t="inlineStr">
        <is>
          <t>video-state-machine.md</t>
        </is>
      </c>
      <c r="L36" s="20" t="inlineStr">
        <is>
          <t>2–3</t>
        </is>
      </c>
      <c r="M36" s="18" t="inlineStr">
        <is>
          <t>High</t>
        </is>
      </c>
      <c r="N36" s="21" t="n"/>
      <c r="O36" s="4" t="inlineStr">
        <is>
          <t>Vũ</t>
        </is>
      </c>
      <c r="P36" s="4" t="inlineStr"/>
      <c r="Q36" s="23" t="inlineStr">
        <is>
          <t>❌ Chưa có</t>
        </is>
      </c>
      <c r="R36" s="4" t="inlineStr">
        <is>
          <t>A7 webhook (P1) sẽ thay polling nếu làm</t>
        </is>
      </c>
      <c r="S36" s="4" t="inlineStr">
        <is>
          <t>docs-frontend/2 §1; Progress 2 §1.2.3</t>
        </is>
      </c>
    </row>
    <row r="37">
      <c r="A37" s="20" t="n">
        <v>34</v>
      </c>
      <c r="B37" s="20" t="inlineStr">
        <is>
          <t>A05.5</t>
        </is>
      </c>
      <c r="C37" s="20" t="inlineStr">
        <is>
          <t>TASK</t>
        </is>
      </c>
      <c r="D37" s="4" t="inlineStr">
        <is>
          <t>F5 Trình phát HLS + link streaming + mã nhúng</t>
        </is>
      </c>
      <c r="E37" s="20" t="inlineStr"/>
      <c r="F37" s="4" t="inlineStr">
        <is>
          <t>hls.js phát master playlist khi COMPLETED; copy link streaming; iframe embed.</t>
        </is>
      </c>
      <c r="G37" s="4" t="inlineStr">
        <is>
          <t>Trình bày + Edge</t>
        </is>
      </c>
      <c r="H37" s="4" t="inlineStr">
        <is>
          <t>hls.js; CloudFront /media/* → bucket output</t>
        </is>
      </c>
      <c r="I37" s="20" t="inlineStr">
        <is>
          <t>F</t>
        </is>
      </c>
      <c r="J37" s="4" t="inlineStr">
        <is>
          <t>Player là điểm cuối của chuỗi phân phối: nó chỉ hoạt động khi rewrite /media và OAC ở tầng Edge đúng, đồng thời Content-Type và đường dẫn tương đối của segment do worker (A4.1) quyết định.</t>
        </is>
      </c>
      <c r="K37" s="4" t="inlineStr">
        <is>
          <t>docs-frontend/3; docs-cloud/3 §7</t>
        </is>
      </c>
      <c r="L37" s="20" t="inlineStr">
        <is>
          <t>2–3</t>
        </is>
      </c>
      <c r="M37" s="18" t="inlineStr">
        <is>
          <t>High</t>
        </is>
      </c>
      <c r="N37" s="21" t="n"/>
      <c r="O37" s="4" t="inlineStr">
        <is>
          <t>Vũ</t>
        </is>
      </c>
      <c r="P37" s="4" t="inlineStr">
        <is>
          <t>Nguyên (C4), Vũ (A4)</t>
        </is>
      </c>
      <c r="Q37" s="23" t="inlineStr">
        <is>
          <t>❌ Chưa có</t>
        </is>
      </c>
      <c r="R37" s="4" t="inlineStr">
        <is>
          <t>Thứ tự cắt A6: bỏ đoạn mã nhúng trước, giữ player + link</t>
        </is>
      </c>
      <c r="S37" s="4" t="inlineStr">
        <is>
          <t>docs-frontend/2 §4; introduction/1 §7 mục 3</t>
        </is>
      </c>
    </row>
    <row r="38">
      <c r="A38" s="16" t="n">
        <v>35</v>
      </c>
      <c r="B38" s="16" t="inlineStr">
        <is>
          <t>A06</t>
        </is>
      </c>
      <c r="C38" s="16" t="inlineStr">
        <is>
          <t>EPIC</t>
        </is>
      </c>
      <c r="D38" s="17" t="inlineStr">
        <is>
          <t>IAM và bảo mật</t>
        </is>
      </c>
      <c r="E38" s="16" t="inlineStr">
        <is>
          <t>[5], [6], [8], [9], [12]</t>
        </is>
      </c>
      <c r="F38" s="17" t="inlineStr">
        <is>
          <t>Policy cho API role / Worker role / Deploy role theo least-privilege; instance profile cho EC2; SSM Parameter Store + Secrets; Security Group không inbound cho API và worker; review chéo quyền DynamoDB/SQS với backend. Xong khi: worker ghi vào bucket input bị AccessDenied như nghiệm thu.</t>
        </is>
      </c>
      <c r="G38" s="17" t="inlineStr">
        <is>
          <t>Bảo mật (ngang)</t>
        </is>
      </c>
      <c r="H38" s="17" t="inlineStr">
        <is>
          <t>IAM roles/policies, SSM Parameter Store, Security Groups</t>
        </is>
      </c>
      <c r="I38" s="16" t="inlineStr">
        <is>
          <t>G</t>
        </is>
      </c>
      <c r="J38" s="17" t="inlineStr">
        <is>
          <t>Lớp bảo mật cắt ngang mọi tầng: [5] bảng, [6] hàng đợi, [8] object, [9] quyền chuyển trạng thái, [12] mạng. Nguyên tắc 'worker không đọc secret, danh tính = instance profile' và 'code không phân nhánh theo môi trường' chỉ kiểm chứng được bằng IAM thật — local (test/test) không phát hiện quyền thừa.</t>
        </is>
      </c>
      <c r="K38" s="17" t="inlineStr">
        <is>
          <t>docs-worker/3 §3.9; docs-cloud/3 (bảng IAM identity/permission)</t>
        </is>
      </c>
      <c r="L38" s="16" t="inlineStr">
        <is>
          <t>1–2</t>
        </is>
      </c>
      <c r="M38" s="18" t="inlineStr">
        <is>
          <t>High</t>
        </is>
      </c>
      <c r="N38" s="19" t="n">
        <v>1.5</v>
      </c>
      <c r="O38" s="17" t="inlineStr">
        <is>
          <t>Nguyên</t>
        </is>
      </c>
      <c r="P38" s="17" t="inlineStr">
        <is>
          <t>Vũ, Phương (review quyền)</t>
        </is>
      </c>
      <c r="Q38" s="17" t="inlineStr">
        <is>
          <t>❌ Chưa có policy nào trong repo (infra/terraform chưa có file .tf)</t>
        </is>
      </c>
      <c r="R38" s="17" t="inlineStr">
        <is>
          <t>Làm cùng A08: quyền sai chỉ lộ khi chạy AWS thật, sửa muộn sẽ chặn A09/A10</t>
        </is>
      </c>
      <c r="S38" s="17" t="inlineStr">
        <is>
          <t>Progress 2 §3.2 dòng A06; docs-cloud/3; docs-worker/3 §3.9</t>
        </is>
      </c>
    </row>
    <row r="39">
      <c r="A39" s="20" t="n">
        <v>36</v>
      </c>
      <c r="B39" s="20" t="inlineStr">
        <is>
          <t>A06.1</t>
        </is>
      </c>
      <c r="C39" s="20" t="inlineStr">
        <is>
          <t>TASK</t>
        </is>
      </c>
      <c r="D39" s="4" t="inlineStr">
        <is>
          <t>Viết policy API role / Worker role / Deploy role</t>
        </is>
      </c>
      <c r="E39" s="20" t="inlineStr"/>
      <c r="F39" s="4" t="inlineStr">
        <is>
          <t>Theo bảng phạm vi quyền docs-cloud/3 §6; dùng ARN/prefix, kiểm tra thêm quyền KMS nếu SecureString dùng CMK.</t>
        </is>
      </c>
      <c r="G39" s="4" t="inlineStr">
        <is>
          <t>Bảo mật</t>
        </is>
      </c>
      <c r="H39" s="4" t="inlineStr">
        <is>
          <t>IAM managed policies; instance profile EC2</t>
        </is>
      </c>
      <c r="I39" s="20" t="inlineStr">
        <is>
          <t>G</t>
        </is>
      </c>
      <c r="J39" s="4" t="inlineStr">
        <is>
          <t>Tách ba danh tính phản ánh đúng ba đường đi trong kiến trúc: request nghiệp vụ (API), xử lý nền (worker), và thao tác vận hành (deploy) - deploy role không được admin toàn account.</t>
        </is>
      </c>
      <c r="K39" s="4" t="inlineStr">
        <is>
          <t>docs-cloud/3 §6</t>
        </is>
      </c>
      <c r="L39" s="20" t="inlineStr">
        <is>
          <t>1–2</t>
        </is>
      </c>
      <c r="M39" s="18" t="inlineStr">
        <is>
          <t>High</t>
        </is>
      </c>
      <c r="N39" s="21" t="n"/>
      <c r="O39" s="4" t="inlineStr">
        <is>
          <t>Nguyên</t>
        </is>
      </c>
      <c r="P39" s="4" t="inlineStr">
        <is>
          <t>Phương, Vũ</t>
        </is>
      </c>
      <c r="Q39" s="23" t="inlineStr">
        <is>
          <t>❌ Chưa có</t>
        </is>
      </c>
      <c r="R39" s="4" t="inlineStr">
        <is>
          <t>Quyền ghi trạng thái vẫn phải nằm trong code, không chỉ dựa vào IAM</t>
        </is>
      </c>
      <c r="S39" s="4" t="inlineStr">
        <is>
          <t>docs-cloud/3 §6</t>
        </is>
      </c>
    </row>
    <row r="40">
      <c r="A40" s="20" t="n">
        <v>37</v>
      </c>
      <c r="B40" s="20" t="inlineStr">
        <is>
          <t>A06.2</t>
        </is>
      </c>
      <c r="C40" s="20" t="inlineStr">
        <is>
          <t>TASK</t>
        </is>
      </c>
      <c r="D40" s="4" t="inlineStr">
        <is>
          <t>SSM Parameter Store /tvc/{env}/... và SecureString tunnel token</t>
        </is>
      </c>
      <c r="E40" s="20" t="inlineStr"/>
      <c r="F40" s="4" t="inlineStr">
        <is>
          <t>Các path đã có script dùng cứng: /tvc/{env}/worker/image-tag, /tvc/{env}/cloudflared/token; secret không nhúng image/user-data/output Terraform.</t>
        </is>
      </c>
      <c r="G40" s="4" t="inlineStr">
        <is>
          <t>Bảo mật + Vận hành</t>
        </is>
      </c>
      <c r="H40" s="4" t="inlineStr">
        <is>
          <t>SSM Parameter Store; deploy scripts</t>
        </is>
      </c>
      <c r="I40" s="20" t="inlineStr">
        <is>
          <t>G</t>
        </is>
      </c>
      <c r="J40" s="4" t="inlineStr">
        <is>
          <t>Là cầu nối cấu hình giữa hạ tầng và ứng dụng: App không hard-code ARN mà đọc tên/secret từ env/SSM do Cloud cấp, nhờ đó một codebase chạy cả local lẫn cloud.</t>
        </is>
      </c>
      <c r="K40" s="4" t="inlineStr">
        <is>
          <t>docs-cloud/3 §4, §6</t>
        </is>
      </c>
      <c r="L40" s="20" t="inlineStr">
        <is>
          <t>1–2</t>
        </is>
      </c>
      <c r="M40" s="18" t="inlineStr">
        <is>
          <t>High</t>
        </is>
      </c>
      <c r="N40" s="21" t="n"/>
      <c r="O40" s="4" t="inlineStr">
        <is>
          <t>Nguyên</t>
        </is>
      </c>
      <c r="P40" s="4" t="inlineStr">
        <is>
          <t>Lưu, Vũ</t>
        </is>
      </c>
      <c r="Q40" s="23" t="inlineStr">
        <is>
          <t>❌ Chưa có</t>
        </is>
      </c>
      <c r="R40" s="4" t="inlineStr">
        <is>
          <t>Local có SSM trong compose nhưng chưa có luồng cấp secret tương ứng</t>
        </is>
      </c>
      <c r="S40" s="4" t="inlineStr">
        <is>
          <t>docs-cloud/3 §3, §6; docs-common/2</t>
        </is>
      </c>
    </row>
    <row r="41">
      <c r="A41" s="20" t="n">
        <v>38</v>
      </c>
      <c r="B41" s="20" t="inlineStr">
        <is>
          <t>A06.3</t>
        </is>
      </c>
      <c r="C41" s="20" t="inlineStr">
        <is>
          <t>TASK</t>
        </is>
      </c>
      <c r="D41" s="4" t="inlineStr">
        <is>
          <t>Security Group không inbound cho API và Worker</t>
        </is>
      </c>
      <c r="E41" s="20" t="inlineStr"/>
      <c r="F41" s="4" t="inlineStr">
        <is>
          <t>cloudflared chủ động tạo kết nối ra Cloudflare; chỉ mở outbound cần thiết cho AWS API, ECR, cập nhật image, Tunnel; quản trị qua Session Manager.</t>
        </is>
      </c>
      <c r="G41" s="4" t="inlineStr">
        <is>
          <t>Mạng / Bảo mật</t>
        </is>
      </c>
      <c r="H41" s="4" t="inlineStr">
        <is>
          <t>Security Groups; EC2; Cloudflare Tunnel</t>
        </is>
      </c>
      <c r="I41" s="20" t="inlineStr">
        <is>
          <t>G</t>
        </is>
      </c>
      <c r="J41" s="4" t="inlineStr">
        <is>
          <t>Đây là điểm làm cho thiết kế Tunnel đáng giá về mặt an ninh: API không cần Elastic IP và không mở cổng vào Internet, mà vẫn tiếp cận được qua CloudFront.</t>
        </is>
      </c>
      <c r="K41" s="4" t="inlineStr">
        <is>
          <t>docs-cloud/3 §6</t>
        </is>
      </c>
      <c r="L41" s="20" t="inlineStr">
        <is>
          <t>1–2</t>
        </is>
      </c>
      <c r="M41" s="18" t="inlineStr">
        <is>
          <t>High</t>
        </is>
      </c>
      <c r="N41" s="21" t="n"/>
      <c r="O41" s="4" t="inlineStr">
        <is>
          <t>Nguyên</t>
        </is>
      </c>
      <c r="P41" s="4" t="inlineStr"/>
      <c r="Q41" s="23" t="inlineStr">
        <is>
          <t>❌ Chưa có</t>
        </is>
      </c>
      <c r="R41" s="4" t="inlineStr">
        <is>
          <t>Hostname origin vẫn truy cập trực tiếp được - API có xác thực nên MVP chấp nhận</t>
        </is>
      </c>
      <c r="S41" s="4" t="inlineStr">
        <is>
          <t>introduction/1 §8.1; docs-cloud/3 §6</t>
        </is>
      </c>
    </row>
    <row r="42">
      <c r="A42" s="20" t="n">
        <v>39</v>
      </c>
      <c r="B42" s="20" t="inlineStr">
        <is>
          <t>A06.4</t>
        </is>
      </c>
      <c r="C42" s="20" t="inlineStr">
        <is>
          <t>TASK</t>
        </is>
      </c>
      <c r="D42" s="4" t="inlineStr">
        <is>
          <t>Review chéo quyền DynamoDB/SQS với backend và worker</t>
        </is>
      </c>
      <c r="E42" s="20" t="inlineStr"/>
      <c r="F42" s="4" t="inlineStr">
        <is>
          <t>Đối chiếu quyền API cần (presign PUT, HeadObject, SendMessage, CRUD metadata) và worker cần (§3.9) với policy thật.</t>
        </is>
      </c>
      <c r="G42" s="4" t="inlineStr">
        <is>
          <t>Bảo mật + Ứng dụng</t>
        </is>
      </c>
      <c r="H42" s="4" t="inlineStr">
        <is>
          <t>IAM policy; DynamoDB; SQS</t>
        </is>
      </c>
      <c r="I42" s="20" t="inlineStr">
        <is>
          <t>G,A,C,D,E</t>
        </is>
      </c>
      <c r="J42" s="4" t="inlineStr">
        <is>
          <t>Là điểm đồng bộ App↔Cloud dễ vỡ nhất: quyền thiếu chỉ lộ ra khi chạy trên AWS (M2), nên phải chốt từ Sprint 2 thay vì debug lúc deploy.</t>
        </is>
      </c>
      <c r="K42" s="4" t="inlineStr">
        <is>
          <t>docs-common/4 §4.2</t>
        </is>
      </c>
      <c r="L42" s="20" t="inlineStr">
        <is>
          <t>1–2</t>
        </is>
      </c>
      <c r="M42" s="18" t="inlineStr">
        <is>
          <t>High</t>
        </is>
      </c>
      <c r="N42" s="21" t="n"/>
      <c r="O42" s="4" t="inlineStr">
        <is>
          <t>Nguyên</t>
        </is>
      </c>
      <c r="P42" s="4" t="inlineStr">
        <is>
          <t>Phương, Vũ</t>
        </is>
      </c>
      <c r="Q42" s="23" t="inlineStr">
        <is>
          <t>❌ Chưa</t>
        </is>
      </c>
      <c r="R42" s="4" t="inlineStr">
        <is>
          <t>Bảng đồng bộ: 'IAM theo bảng/queue - App liệt kê quyền, Nguyên viết policy'</t>
        </is>
      </c>
      <c r="S42" s="4" t="inlineStr">
        <is>
          <t>introduction/1 §6; docs-common/4 §4.2</t>
        </is>
      </c>
    </row>
    <row r="43">
      <c r="A43" s="16" t="n">
        <v>40</v>
      </c>
      <c r="B43" s="16" t="inlineStr">
        <is>
          <t>A07</t>
        </is>
      </c>
      <c r="C43" s="16" t="inlineStr">
        <is>
          <t>EPIC</t>
        </is>
      </c>
      <c r="D43" s="17" t="inlineStr">
        <is>
          <t>Đóng gói Docker và stack local</t>
        </is>
      </c>
      <c r="E43" s="16" t="inlineStr">
        <is>
          <t>[12]</t>
        </is>
      </c>
      <c r="F43" s="17" t="inlineStr">
        <is>
          <t>Dockerfile cho backend (JRE) và worker (ffmpeg + ffprobe trong PATH); make infra / make smoke / make up đạt trên máy từng thành viên; README quickstart; bổ sung lifecycle xóa input 7 ngày vào init script. Xong khi: một người mới clone repo, chạy `make up` là có đủ stack.</t>
        </is>
      </c>
      <c r="G43" s="17" t="inlineStr">
        <is>
          <t>Nền dev/vận hành</t>
        </is>
      </c>
      <c r="H43" s="17" t="inlineStr">
        <is>
          <t>Docker Compose, LocalStack :4566, nginx :8000, image tvc-worker/tvc-backend</t>
        </is>
      </c>
      <c r="I43" s="16" t="inlineStr">
        <is>
          <t>G</t>
        </is>
      </c>
      <c r="J43" s="17" t="inlineStr">
        <is>
          <t>[12] là nền mà mọi tầng khác chạy trên: cùng một image phải chạy được local lẫn AWS, mọi khác biệt nằm ở biến môi trường. Không có Dockerfile thì A04 không ghép được make up, A05 không có /api proxy, A10 không có môi trường để chạy.</t>
        </is>
      </c>
      <c r="K43" s="17" t="inlineStr">
        <is>
          <t>docs-cloud/4 (runbook C0); LOCAL_AND_CICD §2</t>
        </is>
      </c>
      <c r="L43" s="16" t="inlineStr">
        <is>
          <t>1–2</t>
        </is>
      </c>
      <c r="M43" s="25" t="inlineStr">
        <is>
          <t>Medium</t>
        </is>
      </c>
      <c r="N43" s="19" t="n">
        <v>1.5</v>
      </c>
      <c r="O43" s="17" t="inlineStr">
        <is>
          <t>Lưu</t>
        </is>
      </c>
      <c r="P43" s="17" t="inlineStr">
        <is>
          <t>Vũ, Phương (lệnh build, env)</t>
        </is>
      </c>
      <c r="Q43" s="17" t="inlineStr">
        <is>
          <t>⭕ Compose + nginx + init đã có; ❌ chưa có Dockerfile nào trong repo; image localstack:latest (2026.10) đòi license → pin 3.8.1; macOS TCC chặn mount ~/Documents</t>
        </is>
      </c>
      <c r="R43" s="17" t="inlineStr">
        <is>
          <t>⚠ Bảng mới ghi Medium nhưng đây là hạng mục chặn mọi thứ chạy container — đề xuất đổi High và làm sớm nhất</t>
        </is>
      </c>
      <c r="S43" s="17" t="inlineStr">
        <is>
          <t>Progress 2 §3.2 dòng A07, §3.3 ghi chú 'dòng 7 chặn mọi thứ chạy container'; docs-worker/work/Week1.md §6.2</t>
        </is>
      </c>
    </row>
    <row r="44">
      <c r="A44" s="20" t="n">
        <v>41</v>
      </c>
      <c r="B44" s="20" t="inlineStr">
        <is>
          <t>A07.1</t>
        </is>
      </c>
      <c r="C44" s="20" t="inlineStr">
        <is>
          <t>TASK</t>
        </is>
      </c>
      <c r="D44" s="4" t="inlineStr">
        <is>
          <t>make infra + make smoke đạt trên máy từng thành viên</t>
        </is>
      </c>
      <c r="E44" s="20" t="inlineStr"/>
      <c r="F44" s="4" t="inlineStr">
        <is>
          <t>Ghi kết quả trên máy từng người; ghim LOCALSTACK_IMAGE vào tag/digest đã kiểm chứng.</t>
        </is>
      </c>
      <c r="G44" s="4" t="inlineStr">
        <is>
          <t>Hạ tầng (dev)</t>
        </is>
      </c>
      <c r="H44" s="4" t="inlineStr">
        <is>
          <t>LocalStack; local/scripts/smoke-test.sh</t>
        </is>
      </c>
      <c r="I44" s="20" t="inlineStr">
        <is>
          <t>G</t>
        </is>
      </c>
      <c r="J44" s="4" t="inlineStr">
        <is>
          <t>Smoke hiện chỉ kiểm tra tên của 3 bucket, 2 queue, 4 bảng - chưa xác nhận thuộc tính, nên CORS/GSI/redrive phải kiểm tra bổ sung bằng awslocal.</t>
        </is>
      </c>
      <c r="K44" s="4" t="inlineStr">
        <is>
          <t>docs-cloud/4 §3</t>
        </is>
      </c>
      <c r="L44" s="20" t="inlineStr">
        <is>
          <t>1–2</t>
        </is>
      </c>
      <c r="M44" s="18" t="inlineStr">
        <is>
          <t>High</t>
        </is>
      </c>
      <c r="N44" s="21" t="n"/>
      <c r="O44" s="4" t="inlineStr">
        <is>
          <t>Lưu</t>
        </is>
      </c>
      <c r="P44" s="4" t="inlineStr">
        <is>
          <t>Mọi thành viên chạy</t>
        </is>
      </c>
      <c r="Q44" s="22" t="inlineStr">
        <is>
          <t>⭕ Đạt trên máy đã rà; chưa có bằng chứng trên ≥ 2 máy thành viên</t>
        </is>
      </c>
      <c r="R44" s="4" t="inlineStr">
        <is>
          <t>Image localstack:latest 2026.10 đòi license → pin 3.8.1; Docker Desktop macOS bị TCC chặn ~/Documents</t>
        </is>
      </c>
      <c r="S44" s="4" t="inlineStr">
        <is>
          <t>docs-common/2 §2.3; docs-worker/work/Week1.md §6.2</t>
        </is>
      </c>
    </row>
    <row r="45">
      <c r="A45" s="20" t="n">
        <v>42</v>
      </c>
      <c r="B45" s="20" t="inlineStr">
        <is>
          <t>A07.2</t>
        </is>
      </c>
      <c r="C45" s="20" t="inlineStr">
        <is>
          <t>TASK</t>
        </is>
      </c>
      <c r="D45" s="4" t="inlineStr">
        <is>
          <t>Dockerfile backend (JRE) + worker (FFmpeg/ffprobe) + build frontend</t>
        </is>
      </c>
      <c r="E45" s="20" t="inlineStr"/>
      <c r="F45" s="4" t="inlineStr">
        <is>
          <t>Worker image phải có ffmpeg/ffprobe trong PATH và thư mục tạm; App review chéo (Phương/Vũ).</t>
        </is>
      </c>
      <c r="G45" s="4" t="inlineStr">
        <is>
          <t>Hạ tầng (dev) + Xử lý</t>
        </is>
      </c>
      <c r="H45" s="4" t="inlineStr">
        <is>
          <t>backend/, worker/ container images; ECR sau này</t>
        </is>
      </c>
      <c r="I45" s="20" t="inlineStr">
        <is>
          <t>G,E</t>
        </is>
      </c>
      <c r="J45" s="4" t="inlineStr">
        <is>
          <t>Cùng một Docker image phải chạy được cả local lẫn AWS - đây là điều kiện tiên quyết của nguyên tắc 'local trước, cloud sau' và là gate để C3 đẩy image lên ECR.</t>
        </is>
      </c>
      <c r="K45" s="4" t="inlineStr">
        <is>
          <t>docs-cloud/4 §4.1</t>
        </is>
      </c>
      <c r="L45" s="20" t="inlineStr">
        <is>
          <t>1–2</t>
        </is>
      </c>
      <c r="M45" s="18" t="inlineStr">
        <is>
          <t>High</t>
        </is>
      </c>
      <c r="N45" s="21" t="n"/>
      <c r="O45" s="4" t="inlineStr">
        <is>
          <t>Lưu</t>
        </is>
      </c>
      <c r="P45" s="4" t="inlineStr">
        <is>
          <t>Phương, Vũ review</t>
        </is>
      </c>
      <c r="Q45" s="23" t="inlineStr">
        <is>
          <t>❌ Chưa có Dockerfile nào trong repo</t>
        </is>
      </c>
      <c r="R45" s="4" t="inlineStr">
        <is>
          <t>Chặn A4.5, C3.1, M2</t>
        </is>
      </c>
      <c r="S45" s="4" t="inlineStr">
        <is>
          <t>docs-cloud/4 §4.1; rà soát repo 27/10</t>
        </is>
      </c>
    </row>
    <row r="46">
      <c r="A46" s="20" t="n">
        <v>43</v>
      </c>
      <c r="B46" s="20" t="inlineStr">
        <is>
          <t>A07.3</t>
        </is>
      </c>
      <c r="C46" s="20" t="inlineStr">
        <is>
          <t>TASK</t>
        </is>
      </c>
      <c r="D46" s="4" t="inlineStr">
        <is>
          <t>make up full stack qua nginx localhost:8000</t>
        </is>
      </c>
      <c r="E46" s="20" t="inlineStr"/>
      <c r="F46" s="4" t="inlineStr">
        <is>
          <t>Profile full: nginx gộp một domain cho /, /api/*, /media/*; frontend dev server 5173 bind địa chỉ host truy cập được.</t>
        </is>
      </c>
      <c r="G46" s="4" t="inlineStr">
        <is>
          <t>Trình bày + Hạ tầng (dev)</t>
        </is>
      </c>
      <c r="H46" s="4" t="inlineStr">
        <is>
          <t>nginx default.conf; Vite dev server; LocalStack presign endpoint</t>
        </is>
      </c>
      <c r="I46" s="20" t="inlineStr">
        <is>
          <t>G,F</t>
        </is>
      </c>
      <c r="J46" s="4" t="inlineStr">
        <is>
          <t>nginx là bản giả lập CloudFront ở cấp routing: cùng một đường dẫn tương đối /api và /media chạy trên local và trên edge, nên frontend không cần đổi base URL khi lên cloud. Hai biến S3 (host browser vs host container) là bẫy tích hợp điển hình ở tầng này.</t>
        </is>
      </c>
      <c r="K46" s="4" t="inlineStr">
        <is>
          <t>local/nginx/default.conf; introduction/2 §1.5</t>
        </is>
      </c>
      <c r="L46" s="20" t="inlineStr">
        <is>
          <t>1–2</t>
        </is>
      </c>
      <c r="M46" s="18" t="inlineStr">
        <is>
          <t>High</t>
        </is>
      </c>
      <c r="N46" s="21" t="n"/>
      <c r="O46" s="4" t="inlineStr">
        <is>
          <t>Lưu</t>
        </is>
      </c>
      <c r="P46" s="4" t="inlineStr">
        <is>
          <t>Vũ (frontend), Phương (path-style presign)</t>
        </is>
      </c>
      <c r="Q46" s="22" t="inlineStr">
        <is>
          <t>⭕ Compose/nginx sẵn, cần Dockerfile + source</t>
        </is>
      </c>
      <c r="R46" s="4" t="inlineStr">
        <is>
          <t>nginx / 502 → kiểm tra bind address và host.docker.internal</t>
        </is>
      </c>
      <c r="S46" s="4" t="inlineStr">
        <is>
          <t>docs-common/2 §2.2; docs-cloud/4 §11</t>
        </is>
      </c>
    </row>
    <row r="47">
      <c r="A47" s="20" t="n">
        <v>44</v>
      </c>
      <c r="B47" s="20" t="inlineStr">
        <is>
          <t>A07.4</t>
        </is>
      </c>
      <c r="C47" s="20" t="inlineStr">
        <is>
          <t>TASK</t>
        </is>
      </c>
      <c r="D47" s="4" t="inlineStr">
        <is>
          <t>README quickstart + kiểm tra trên máy Windows của cả nhóm</t>
        </is>
      </c>
      <c r="E47" s="20" t="inlineStr"/>
      <c r="F47" s="4" t="inlineStr">
        <is>
          <t>Git Bash/WSL, GNU Make, CRLF theo .gitattributes; hướng dẫn LOCALSTACK_AUTH_TOKEN.</t>
        </is>
      </c>
      <c r="G47" s="4" t="inlineStr">
        <is>
          <t>Hạ tầng (dev)</t>
        </is>
      </c>
      <c r="H47" s="4" t="inlineStr">
        <is>
          <t>README.md; docs/introduction/2.LOCAL_AND_CICD.md</t>
        </is>
      </c>
      <c r="I47" s="20" t="inlineStr">
        <is>
          <t>G</t>
        </is>
      </c>
      <c r="J47" s="4" t="inlineStr">
        <is>
          <t>4/5 máy là Windows nên khác biệt shell và mount là rủi ro thật của nền tảng, không phải vấn đề tài liệu; init script thiếu bit +x đã từng làm hỏng LocalStack.</t>
        </is>
      </c>
      <c r="K47" s="4" t="inlineStr">
        <is>
          <t>docs/introduction/2. LOCAL_AND_CICD.md</t>
        </is>
      </c>
      <c r="L47" s="20" t="inlineStr">
        <is>
          <t>1–2</t>
        </is>
      </c>
      <c r="M47" s="18" t="inlineStr">
        <is>
          <t>High</t>
        </is>
      </c>
      <c r="N47" s="21" t="n"/>
      <c r="O47" s="4" t="inlineStr">
        <is>
          <t>Lưu</t>
        </is>
      </c>
      <c r="P47" s="4" t="inlineStr">
        <is>
          <t>Cả nhóm</t>
        </is>
      </c>
      <c r="Q47" s="22" t="inlineStr">
        <is>
          <t>⭕ Đã có hướng dẫn; chưa xác nhận đủ máy</t>
        </is>
      </c>
      <c r="R47" s="4" t="inlineStr">
        <is>
          <t>Bằng chứng M0 cần trên ≥ 2 máy</t>
        </is>
      </c>
      <c r="S47" s="4" t="inlineStr">
        <is>
          <t>docs-cloud/4 §2; docs-worker/work/Week1.md §6.2</t>
        </is>
      </c>
    </row>
    <row r="48">
      <c r="A48" s="20" t="n">
        <v>45</v>
      </c>
      <c r="B48" s="20" t="inlineStr">
        <is>
          <t>A07.5</t>
        </is>
      </c>
      <c r="C48" s="20" t="inlineStr">
        <is>
          <t>TASK</t>
        </is>
      </c>
      <c r="D48" s="4" t="inlineStr">
        <is>
          <t>Bổ sung lifecycle xóa input 7 ngày trong init local</t>
        </is>
      </c>
      <c r="E48" s="20" t="inlineStr"/>
      <c r="F48" s="4" t="inlineStr">
        <is>
          <t>Cho local khớp với thiết kế S3 lifecycle ở C1.2; xác minh riêng trên AWS, không suy ra từ smoke.</t>
        </is>
      </c>
      <c r="G48" s="4" t="inlineStr">
        <is>
          <t>Dữ liệu</t>
        </is>
      </c>
      <c r="H48" s="4" t="inlineStr">
        <is>
          <t>LocalStack S3 lifecycle; bucket tvc-local-input</t>
        </is>
      </c>
      <c r="I48" s="20" t="inlineStr">
        <is>
          <t>G,C</t>
        </is>
      </c>
      <c r="J48" s="4" t="inlineStr">
        <is>
          <t>Lifecycle là tầng cuối của chuỗi giới hạn upload (dọn file không confirm) và là tài nguyên phải khớp giữa local và Terraform, nếu không local sẽ cho kết quả khác cloud.</t>
        </is>
      </c>
      <c r="K48" s="4" t="inlineStr">
        <is>
          <t>docs/contracts/upload-limits.md</t>
        </is>
      </c>
      <c r="L48" s="20" t="inlineStr">
        <is>
          <t>1–2</t>
        </is>
      </c>
      <c r="M48" s="18" t="inlineStr">
        <is>
          <t>High</t>
        </is>
      </c>
      <c r="N48" s="21" t="n"/>
      <c r="O48" s="4" t="inlineStr">
        <is>
          <t>Lưu</t>
        </is>
      </c>
      <c r="P48" s="4" t="inlineStr">
        <is>
          <t>Phương</t>
        </is>
      </c>
      <c r="Q48" s="23" t="inlineStr">
        <is>
          <t>❌ Init local chưa cài lifecycle</t>
        </is>
      </c>
      <c r="R48" s="4" t="inlineStr">
        <is>
          <t>Ghi nhận rõ trong docs-common/2 và docs-cloud/4 §3</t>
        </is>
      </c>
      <c r="S48" s="4" t="inlineStr">
        <is>
          <t>docs-common/2 §2.2; docs-cloud/4 §3</t>
        </is>
      </c>
    </row>
    <row r="49">
      <c r="A49" s="16" t="n">
        <v>46</v>
      </c>
      <c r="B49" s="16" t="inlineStr">
        <is>
          <t>A08</t>
        </is>
      </c>
      <c r="C49" s="16" t="inlineStr">
        <is>
          <t>EPIC</t>
        </is>
      </c>
      <c r="D49" s="17" t="inlineStr">
        <is>
          <t>Terraform hạ tầng dữ liệu</t>
        </is>
      </c>
      <c r="E49" s="16" t="inlineStr">
        <is>
          <t>[4], [5], [8], [9]</t>
        </is>
      </c>
      <c r="F49" s="17" t="inlineStr">
        <is>
          <t>Bootstrap S3 state bucket; module storage (3 bucket + CORS + lifecycle), queue (standard + DLQ, visibility 300s), database (4 bảng + GSI đúng hợp đồng), network (VPC, public subnet, IGW, S3 endpoint); root envs/dev + envs/demo; fmt/validate/plan sạch. Xong khi: `terraform apply` tạo lại được môi trường từ đầu.</t>
        </is>
      </c>
      <c r="G49" s="17" t="inlineStr">
        <is>
          <t>Dữ liệu / IaC</t>
        </is>
      </c>
      <c r="H49" s="17" t="inlineStr">
        <is>
          <t>Terraform modules storage/queue/database/network; S3, SQS+DLQ, DynamoDB, VPC</t>
        </is>
      </c>
      <c r="I49" s="16" t="inlineStr">
        <is>
          <t>G</t>
        </is>
      </c>
      <c r="J49" s="17" t="inlineStr">
        <is>
          <t>Tầng dữ liệu là nơi hai lớp sản phẩm gặp nhau (S3 → SQS → DynamoDB) và là thứ mà A06 cấp quyền, A09 tiêu thụ. ADR 0001 nói chỉ DynamoDB là nguồn sự thật trạng thái — nên schema bảng và GSI ở đây chính là hợp đồng, sai một thuộc tính_index là backend và worker lệch nhau ngay.</t>
        </is>
      </c>
      <c r="K49" s="17" t="inlineStr">
        <is>
          <t>dynamodb-tables.md; s3-key-convention.md; ADR 0001 (docs-common/5)</t>
        </is>
      </c>
      <c r="L49" s="16" t="inlineStr">
        <is>
          <t>1–2</t>
        </is>
      </c>
      <c r="M49" s="18" t="inlineStr">
        <is>
          <t>High</t>
        </is>
      </c>
      <c r="N49" s="19" t="n">
        <v>3</v>
      </c>
      <c r="O49" s="17" t="inlineStr">
        <is>
          <t>Lưu</t>
        </is>
      </c>
      <c r="P49" s="17" t="inlineStr">
        <is>
          <t>Nguyên (IAM cho module), Phương (khóa bảng/GSI theo hợp đồng)</t>
        </is>
      </c>
      <c r="Q49" s="17" t="inlineStr">
        <is>
          <t>❌ infra/terraform chỉ có README + .gitkeep, chưa có file .tf nào</t>
        </is>
      </c>
      <c r="R49" s="17" t="inlineStr">
        <is>
          <t>Gate của A06/A09/A10. Cổng thoát nếu chậm/quota: tạo tay tài nguyên + ghi runbook, Terraform chỉ giữ 4 module dữ liệu</t>
        </is>
      </c>
      <c r="S49" s="17" t="inlineStr">
        <is>
          <t>Progress 2 §3.2 dòng A08, §3.3; docs-cloud/3 §module; docs-common/5 ADR 0001</t>
        </is>
      </c>
    </row>
    <row r="50">
      <c r="A50" s="20" t="n">
        <v>47</v>
      </c>
      <c r="B50" s="20" t="inlineStr">
        <is>
          <t>A08.1</t>
        </is>
      </c>
      <c r="C50" s="20" t="inlineStr">
        <is>
          <t>TASK</t>
        </is>
      </c>
      <c r="D50" s="4" t="inlineStr">
        <is>
          <t>Bootstrap S3 state bucket</t>
        </is>
      </c>
      <c r="E50" s="20" t="inlineStr"/>
      <c r="F50" s="4" t="inlineStr">
        <is>
          <t>Versioning, mã hóa, chặn public, khóa bằng use_lockfile; tách key state cho dev/demo; không commit tfvars thật.</t>
        </is>
      </c>
      <c r="G50" s="4" t="inlineStr">
        <is>
          <t>Hạ tầng (IaC)</t>
        </is>
      </c>
      <c r="H50" s="4" t="inlineStr">
        <is>
          <t>Terraform S3 backend</t>
        </is>
      </c>
      <c r="I50" s="20" t="inlineStr">
        <is>
          <t>G</t>
        </is>
      </c>
      <c r="J50" s="4" t="inlineStr">
        <is>
          <t>Bucket state nằm ngoài vòng đời destroy của môi trường ứng dụng - xóa nó là mất khả năng tái lập toàn bộ hạ tầng.</t>
        </is>
      </c>
      <c r="K50" s="4" t="inlineStr">
        <is>
          <t>docs-cloud/3 §4</t>
        </is>
      </c>
      <c r="L50" s="20" t="inlineStr">
        <is>
          <t>1–2</t>
        </is>
      </c>
      <c r="M50" s="18" t="inlineStr">
        <is>
          <t>High</t>
        </is>
      </c>
      <c r="N50" s="21" t="n"/>
      <c r="O50" s="4" t="inlineStr">
        <is>
          <t>Lưu</t>
        </is>
      </c>
      <c r="P50" s="4" t="inlineStr"/>
      <c r="Q50" s="23" t="inlineStr">
        <is>
          <t>❌ Chưa có</t>
        </is>
      </c>
      <c r="R50" s="4" t="inlineStr">
        <is>
          <t>Không xóa bucket state dùng chung khi thu dọn</t>
        </is>
      </c>
      <c r="S50" s="4" t="inlineStr">
        <is>
          <t>docs-cloud/3 §4; docs-cloud/4 §6.2</t>
        </is>
      </c>
    </row>
    <row r="51">
      <c r="A51" s="20" t="n">
        <v>48</v>
      </c>
      <c r="B51" s="20" t="inlineStr">
        <is>
          <t>A08.2</t>
        </is>
      </c>
      <c r="C51" s="20" t="inlineStr">
        <is>
          <t>TASK</t>
        </is>
      </c>
      <c r="D51" s="4" t="inlineStr">
        <is>
          <t>Module storage: 3 bucket + CORS + lifecycle 7 ngày</t>
        </is>
      </c>
      <c r="E51" s="20" t="inlineStr"/>
      <c r="F51" s="4" t="inlineStr">
        <is>
          <t>frontend/input/output private; CORS cho origin presigned PUT; tên tài nguyên tvc-{env}-*; hậu tố duy nhất toàn cục nếu tên đã bị dùng.</t>
        </is>
      </c>
      <c r="G51" s="4" t="inlineStr">
        <is>
          <t>Dữ liệu</t>
        </is>
      </c>
      <c r="H51" s="4" t="inlineStr">
        <is>
          <t>S3 frontend/input/output; bucket policy + OAC</t>
        </is>
      </c>
      <c r="I51" s="20" t="inlineStr">
        <is>
          <t>G,C</t>
        </is>
      </c>
      <c r="J51" s="4" t="inlineStr">
        <is>
          <t>Ba bucket tách ba vai trò kiến trúc khác nhau: input chỉ API ký PUT và worker đọc; output chỉ worker ghi và CloudFront đọc qua OAC; frontend chỉ CloudFront đọc. Tách này là nền cho kiểm tra quyền âm ở A8.</t>
        </is>
      </c>
      <c r="K51" s="4" t="inlineStr">
        <is>
          <t>docs-cloud/3 §4, §5.1</t>
        </is>
      </c>
      <c r="L51" s="20" t="inlineStr">
        <is>
          <t>1–2</t>
        </is>
      </c>
      <c r="M51" s="18" t="inlineStr">
        <is>
          <t>High</t>
        </is>
      </c>
      <c r="N51" s="21" t="n"/>
      <c r="O51" s="4" t="inlineStr">
        <is>
          <t>Lưu</t>
        </is>
      </c>
      <c r="P51" s="4" t="inlineStr">
        <is>
          <t>Phương (CORS origin)</t>
        </is>
      </c>
      <c r="Q51" s="23" t="inlineStr">
        <is>
          <t>❌ Chưa có .tf</t>
        </is>
      </c>
      <c r="R51" s="4" t="inlineStr">
        <is>
          <t>Hiện init local đặt CORS '*' cho dev, phải siết whitelist khi lên AWS</t>
        </is>
      </c>
      <c r="S51" s="4" t="inlineStr">
        <is>
          <t>docs-cloud/3 §5.1, §7</t>
        </is>
      </c>
    </row>
    <row r="52">
      <c r="A52" s="20" t="n">
        <v>49</v>
      </c>
      <c r="B52" s="20" t="inlineStr">
        <is>
          <t>A08.3</t>
        </is>
      </c>
      <c r="C52" s="20" t="inlineStr">
        <is>
          <t>TASK</t>
        </is>
      </c>
      <c r="D52" s="4" t="inlineStr">
        <is>
          <t>Module queue: standard + DLQ, visibility 300 s, long poll 20 s, maxReceiveCount 3</t>
        </is>
      </c>
      <c r="E52" s="20" t="inlineStr"/>
      <c r="F52" s="4" t="inlineStr">
        <is>
          <t>Xuất ARN queue + DLQ name cho module observability tạo alarm (tránh hai module cùng quản lý một alarm).</t>
        </is>
      </c>
      <c r="G52" s="4" t="inlineStr">
        <is>
          <t>Dữ liệu / Xử lý</t>
        </is>
      </c>
      <c r="H52" s="4" t="inlineStr">
        <is>
          <t>SQS tvc-{env}-jobs, -jobs-dlq</t>
        </is>
      </c>
      <c r="I52" s="20" t="inlineStr">
        <is>
          <t>G,D</t>
        </is>
      </c>
      <c r="J52" s="4" t="inlineStr">
        <is>
          <t>Queue là khớp nối bất đồng bộ giữa tầng Ứng dụng và tầng Xử lý, đồng thời là nguồn metric co giãn; việc xuất ARN sang module observability là ràng buộc thiết kế để DLQ alarm không bị định nghĩa hai nơi.</t>
        </is>
      </c>
      <c r="K52" s="4" t="inlineStr">
        <is>
          <t>docs-cloud/3 §4; sqs-job-message.schema.json</t>
        </is>
      </c>
      <c r="L52" s="20" t="inlineStr">
        <is>
          <t>1–2</t>
        </is>
      </c>
      <c r="M52" s="18" t="inlineStr">
        <is>
          <t>High</t>
        </is>
      </c>
      <c r="N52" s="21" t="n"/>
      <c r="O52" s="4" t="inlineStr">
        <is>
          <t>Lưu</t>
        </is>
      </c>
      <c r="P52" s="4" t="inlineStr">
        <is>
          <t>Nguyên (alarm C5)</t>
        </is>
      </c>
      <c r="Q52" s="23" t="inlineStr">
        <is>
          <t>❌ Chưa có .tf</t>
        </is>
      </c>
      <c r="R52" s="4" t="inlineStr">
        <is>
          <t>maxReceiveCount=3 không có nghĩa '3 lần retry sau lần chạy đầu'</t>
        </is>
      </c>
      <c r="S52" s="4" t="inlineStr">
        <is>
          <t>docs-cloud/3 §4, §5.2</t>
        </is>
      </c>
    </row>
    <row r="53">
      <c r="A53" s="20" t="n">
        <v>50</v>
      </c>
      <c r="B53" s="20" t="inlineStr">
        <is>
          <t>A08.4</t>
        </is>
      </c>
      <c r="C53" s="20" t="inlineStr">
        <is>
          <t>TASK</t>
        </is>
      </c>
      <c r="D53" s="4" t="inlineStr">
        <is>
          <t>Module database: 4 bảng + GSI đúng contract</t>
        </is>
      </c>
      <c r="E53" s="20" t="inlineStr"/>
      <c r="F53" s="4" t="inlineStr">
        <is>
          <t>users, projects, apikeys, videos on-demand; key/GSI giữ đúng dynamodb-tables.md.</t>
        </is>
      </c>
      <c r="G53" s="4" t="inlineStr">
        <is>
          <t>Dữ liệu</t>
        </is>
      </c>
      <c r="H53" s="4" t="inlineStr">
        <is>
          <t>DynamoDB tvc-{env}-*</t>
        </is>
      </c>
      <c r="I53" s="20" t="inlineStr">
        <is>
          <t>G,A,B</t>
        </is>
      </c>
      <c r="J53" s="4" t="inlineStr">
        <is>
          <t>ADR 0001 chọn DynamoDB duy nhất (không RDS, không bảng job riêng) nên access pattern phải được thiết kế trong key ngay từ đầu: thêm truy vấn sau này nghĩa là đổi khoá, không phải đổi SQL.</t>
        </is>
      </c>
      <c r="K53" s="4" t="inlineStr">
        <is>
          <t>docs/contracts/dynamodb-tables.md; docs-common/5 ADR 0001</t>
        </is>
      </c>
      <c r="L53" s="20" t="inlineStr">
        <is>
          <t>1–2</t>
        </is>
      </c>
      <c r="M53" s="18" t="inlineStr">
        <is>
          <t>High</t>
        </is>
      </c>
      <c r="N53" s="21" t="n"/>
      <c r="O53" s="4" t="inlineStr">
        <is>
          <t>Lưu</t>
        </is>
      </c>
      <c r="P53" s="4" t="inlineStr">
        <is>
          <t>Phương (schema)</t>
        </is>
      </c>
      <c r="Q53" s="23" t="inlineStr">
        <is>
          <t>❌ Chưa có .tf</t>
        </is>
      </c>
      <c r="R53" s="4" t="inlineStr">
        <is>
          <t>Schema đổi giữa chừng ảnh hưởng cả code đã viết</t>
        </is>
      </c>
      <c r="S53" s="4" t="inlineStr">
        <is>
          <t>docs-common/5 ADR 0001</t>
        </is>
      </c>
    </row>
    <row r="54">
      <c r="A54" s="20" t="n">
        <v>51</v>
      </c>
      <c r="B54" s="20" t="inlineStr">
        <is>
          <t>A08.5</t>
        </is>
      </c>
      <c r="C54" s="20" t="inlineStr">
        <is>
          <t>TASK</t>
        </is>
      </c>
      <c r="D54" s="4" t="inlineStr">
        <is>
          <t>Module network: VPC + public subnet + IGW + S3 gateway endpoint</t>
        </is>
      </c>
      <c r="E54" s="20" t="inlineStr"/>
      <c r="F54" s="4" t="inlineStr">
        <is>
          <t>Không NAT Gateway; route và endpoint ID xuất ra cho compute.</t>
        </is>
      </c>
      <c r="G54" s="4" t="inlineStr">
        <is>
          <t>Hạ tầng (mạng)</t>
        </is>
      </c>
      <c r="H54" s="4" t="inlineStr">
        <is>
          <t>VPC, subnet, route table, S3 Gateway Endpoint</t>
        </is>
      </c>
      <c r="I54" s="20" t="inlineStr">
        <is>
          <t>G</t>
        </is>
      </c>
      <c r="J54" s="4" t="inlineStr">
        <is>
          <t>MVP dùng public subnet + public IP cho outbound vì rẻ hơn NAT Gateway; S3 Gateway Endpoint hỗ trợ đường xuống S3 nhưng không thay thế toàn bộ outbound (ECR, SSM, Tunnel).</t>
        </is>
      </c>
      <c r="K54" s="4" t="inlineStr">
        <is>
          <t>docs-cloud/3 §6</t>
        </is>
      </c>
      <c r="L54" s="20" t="inlineStr">
        <is>
          <t>1–2</t>
        </is>
      </c>
      <c r="M54" s="18" t="inlineStr">
        <is>
          <t>High</t>
        </is>
      </c>
      <c r="N54" s="21" t="n"/>
      <c r="O54" s="4" t="inlineStr">
        <is>
          <t>Lưu</t>
        </is>
      </c>
      <c r="P54" s="4" t="inlineStr">
        <is>
          <t>Nguyên</t>
        </is>
      </c>
      <c r="Q54" s="23" t="inlineStr">
        <is>
          <t>❌ Chưa có .tf</t>
        </is>
      </c>
      <c r="R54" s="4" t="inlineStr">
        <is>
          <t>Public IPv4 tính phí theo giờ, kể cả worker</t>
        </is>
      </c>
      <c r="S54" s="4" t="inlineStr">
        <is>
          <t>docs-cloud/3 §6; introduction/1 §8.3</t>
        </is>
      </c>
    </row>
    <row r="55">
      <c r="A55" s="20" t="n">
        <v>52</v>
      </c>
      <c r="B55" s="20" t="inlineStr">
        <is>
          <t>A08.6</t>
        </is>
      </c>
      <c r="C55" s="20" t="inlineStr">
        <is>
          <t>TASK</t>
        </is>
      </c>
      <c r="D55" s="4" t="inlineStr">
        <is>
          <t>Root envs/dev + envs/demo, tfvars.example, fmt/validate/plan/apply</t>
        </is>
      </c>
      <c r="E55" s="20" t="inlineStr"/>
      <c r="F55" s="4" t="inlineStr">
        <is>
          <t>Chỉ chạy sau khi có .tf và backend configuration; review plan trước apply.</t>
        </is>
      </c>
      <c r="G55" s="4" t="inlineStr">
        <is>
          <t>Hạ tầng (IaC)</t>
        </is>
      </c>
      <c r="H55" s="4" t="inlineStr">
        <is>
          <t>infra/terraform/envs/dev, envs/demo</t>
        </is>
      </c>
      <c r="I55" s="20" t="inlineStr">
        <is>
          <t>G</t>
        </is>
      </c>
      <c r="J55" s="4" t="inlineStr">
        <is>
          <t>Hai env gọi cùng module nhưng tách state và cấu hình - cách giữ cho môi trường demo không phá môi trường dev và cho phép destroy riêng demo.</t>
        </is>
      </c>
      <c r="K55" s="4" t="inlineStr">
        <is>
          <t>docs-cloud/3 §4</t>
        </is>
      </c>
      <c r="L55" s="20" t="inlineStr">
        <is>
          <t>1–2</t>
        </is>
      </c>
      <c r="M55" s="18" t="inlineStr">
        <is>
          <t>High</t>
        </is>
      </c>
      <c r="N55" s="21" t="n"/>
      <c r="O55" s="4" t="inlineStr">
        <is>
          <t>Lưu</t>
        </is>
      </c>
      <c r="P55" s="4" t="inlineStr">
        <is>
          <t>Nguyên</t>
        </is>
      </c>
      <c r="Q55" s="23" t="inlineStr">
        <is>
          <t>❌ Chưa có</t>
        </is>
      </c>
      <c r="R55" s="4" t="inlineStr"/>
      <c r="S55" s="4" t="inlineStr">
        <is>
          <t>docs-cloud/4 §6.2</t>
        </is>
      </c>
    </row>
    <row r="56">
      <c r="A56" s="16" t="n">
        <v>53</v>
      </c>
      <c r="B56" s="16" t="inlineStr">
        <is>
          <t>A09</t>
        </is>
      </c>
      <c r="C56" s="16" t="inlineStr">
        <is>
          <t>EPIC</t>
        </is>
      </c>
      <c r="D56" s="17" t="inlineStr">
        <is>
          <t>Compute và deploy</t>
        </is>
      </c>
      <c r="E56" s="16" t="inlineStr">
        <is>
          <t>[11], [12]</t>
        </is>
      </c>
      <c r="F56" s="17" t="inlineStr">
        <is>
          <t>ECR 2 repository; EC2 API + container cloudflared; Launch Template + ASG worker (Spot, mixed instances, min/max); user-data đọc image-tag từ SSM; Session Manager thay SSH; script deploy API + worker; CloudFront 3 behavior + Function rewrite + OAC; Cloudflare Tunnel hostname origin. Xong khi: đẩy image mới là ASG rollover, không SSH vào máy.</t>
        </is>
      </c>
      <c r="G56" s="17" t="inlineStr">
        <is>
          <t>Co giãn / Mạng</t>
        </is>
      </c>
      <c r="H56" s="17" t="inlineStr">
        <is>
          <t>EC2, ASG (Spot), ECR, SSM, CloudFront 3 behavior, Cloudflare Tunnel</t>
        </is>
      </c>
      <c r="I56" s="16" t="inlineStr">
        <is>
          <t>G</t>
        </is>
      </c>
      <c r="J56" s="17" t="inlineStr">
        <is>
          <t>[11] là đường deploy (CI/CD → SSM → ASG), [12] là nền vận hành. Edge (CloudFront/Tunnel) đi kèm vì nó quyết định một origin HTTPS duy nhất cho trang, /api/* và /media/* — tức là toàn bộ [1], [2], [10] của phía ứng dụng chỉ hoạt động khi phần này xong.</t>
        </is>
      </c>
      <c r="K56" s="17" t="inlineStr">
        <is>
          <t>docs-cloud/3 (CloudFront behaviors, compute modes); docs-cloud/4 §C3–C4</t>
        </is>
      </c>
      <c r="L56" s="16" t="inlineStr">
        <is>
          <t>2–3</t>
        </is>
      </c>
      <c r="M56" s="18" t="inlineStr">
        <is>
          <t>High</t>
        </is>
      </c>
      <c r="N56" s="19" t="n">
        <v>4</v>
      </c>
      <c r="O56" s="17" t="inlineStr">
        <is>
          <t>Nguyên</t>
        </is>
      </c>
      <c r="P56" s="17" t="inlineStr">
        <is>
          <t>Lưu (Terraform), Vũ (env worker)</t>
        </is>
      </c>
      <c r="Q56" s="17" t="inlineStr">
        <is>
          <t>❌ Chưa có ECR/EC2/ASG/Terraform compute; script deploy khung còn TODO; chưa kiểm chứng quota Spot</t>
        </is>
      </c>
      <c r="R56" s="17" t="inlineStr">
        <is>
          <t>⚠ Bảng mới chỉ ghi [11], [12] — các hạng mục edge (CloudFront/Tunnel/domain, trước đây gộp trong 'Compute, edge &amp; deploy') vẫn nằm ở đây, cần ghi rõ [1],[2],[3],[10] kẻo trôi; ASG min = 0 cần metricpub (P1)</t>
        </is>
      </c>
      <c r="S56" s="17" t="inlineStr">
        <is>
          <t>Progress 2 §3.2 dòng A09; docs-cloud/3 §10; docs-cloud/4</t>
        </is>
      </c>
    </row>
    <row r="57">
      <c r="A57" s="20" t="n">
        <v>54</v>
      </c>
      <c r="B57" s="20" t="inlineStr">
        <is>
          <t>A09.1</t>
        </is>
      </c>
      <c r="C57" s="20" t="inlineStr">
        <is>
          <t>TASK</t>
        </is>
      </c>
      <c r="D57" s="4" t="inlineStr">
        <is>
          <t>Tạo ECR repository tvc-backend, tvc-worker</t>
        </is>
      </c>
      <c r="E57" s="20" t="inlineStr"/>
      <c r="F57" s="4" t="inlineStr">
        <is>
          <t>Push image gắn commit SHA/digest; cùng kiến trúc CPU với máy (x86_64 cho MVP).</t>
        </is>
      </c>
      <c r="G57" s="4" t="inlineStr">
        <is>
          <t>Hạ tầng</t>
        </is>
      </c>
      <c r="H57" s="4" t="inlineStr">
        <is>
          <t>ECR; image pipeline</t>
        </is>
      </c>
      <c r="I57" s="20" t="inlineStr">
        <is>
          <t>G</t>
        </is>
      </c>
      <c r="J57" s="4" t="inlineStr">
        <is>
          <t>Là điểm chuyển giao giữa 'image đã qua local' và 'image chạy trên AWS' - điều kiện để nghiệm thu M2 bằng đúng phiên bản đã kiểm thử.</t>
        </is>
      </c>
      <c r="K57" s="4" t="inlineStr">
        <is>
          <t>docs-cloud/3 §4; docs-cloud/4 §7</t>
        </is>
      </c>
      <c r="L57" s="20" t="inlineStr">
        <is>
          <t>2–3</t>
        </is>
      </c>
      <c r="M57" s="18" t="inlineStr">
        <is>
          <t>High</t>
        </is>
      </c>
      <c r="N57" s="21" t="n"/>
      <c r="O57" s="4" t="inlineStr">
        <is>
          <t>Nguyên</t>
        </is>
      </c>
      <c r="P57" s="4" t="inlineStr">
        <is>
          <t>Lưu</t>
        </is>
      </c>
      <c r="Q57" s="23" t="inlineStr">
        <is>
          <t>❌ Chưa có</t>
        </is>
      </c>
      <c r="R57" s="4" t="inlineStr"/>
      <c r="S57" s="4" t="inlineStr">
        <is>
          <t>docs-cloud/4 §7</t>
        </is>
      </c>
    </row>
    <row r="58">
      <c r="A58" s="20" t="n">
        <v>55</v>
      </c>
      <c r="B58" s="20" t="inlineStr">
        <is>
          <t>A09.2</t>
        </is>
      </c>
      <c r="C58" s="20" t="inlineStr">
        <is>
          <t>TASK</t>
        </is>
      </c>
      <c r="D58" s="4" t="inlineStr">
        <is>
          <t>EC2 API + container cloudflared</t>
        </is>
      </c>
      <c r="E58" s="20" t="inlineStr"/>
      <c r="F58" s="4" t="inlineStr">
        <is>
          <t>API bind 127.0.0.1:8080; cloudflared chạy host network trên EC2 Linux; đọc token ở runtime, không literal trong tài liệu/log.</t>
        </is>
      </c>
      <c r="G58" s="4" t="inlineStr">
        <is>
          <t>Hạ tầng + Ứng dụng</t>
        </is>
      </c>
      <c r="H58" s="4" t="inlineStr">
        <is>
          <t>EC2 tvc-{env}-api; Docker; cloudflared</t>
        </is>
      </c>
      <c r="I58" s="20" t="inlineStr">
        <is>
          <t>G,A</t>
        </is>
      </c>
      <c r="J58" s="4" t="inlineStr">
        <is>
          <t>Toàn bộ traffic API vào hệ thống đi qua Tunnel chứ không qua cổng mở, vì vậy thứ tự kiểm tra bắt buộc là: health tại máy → connector healthy → hostname Tunnel, connector healthy chưa chứng minh app sau nó chạy.</t>
        </is>
      </c>
      <c r="K58" s="4" t="inlineStr">
        <is>
          <t>docs-cloud/4 §7.1; introduction/1 §8.1</t>
        </is>
      </c>
      <c r="L58" s="20" t="inlineStr">
        <is>
          <t>2–3</t>
        </is>
      </c>
      <c r="M58" s="18" t="inlineStr">
        <is>
          <t>High</t>
        </is>
      </c>
      <c r="N58" s="21" t="n"/>
      <c r="O58" s="4" t="inlineStr">
        <is>
          <t>Nguyên</t>
        </is>
      </c>
      <c r="P58" s="4" t="inlineStr">
        <is>
          <t>Phương (health endpoint)</t>
        </is>
      </c>
      <c r="Q58" s="23" t="inlineStr">
        <is>
          <t>❌ Chưa có</t>
        </is>
      </c>
      <c r="R58" s="4" t="inlineStr"/>
      <c r="S58" s="4" t="inlineStr">
        <is>
          <t>docs-cloud/4 §7.1</t>
        </is>
      </c>
    </row>
    <row r="59">
      <c r="A59" s="20" t="n">
        <v>56</v>
      </c>
      <c r="B59" s="20" t="inlineStr">
        <is>
          <t>A09.3</t>
        </is>
      </c>
      <c r="C59" s="20" t="inlineStr">
        <is>
          <t>TASK</t>
        </is>
      </c>
      <c r="D59" s="4" t="inlineStr">
        <is>
          <t>Launch Template + ASG Worker: Spot mixed instances, base on-demand 0</t>
        </is>
      </c>
      <c r="E59" s="20" t="inlineStr"/>
      <c r="F59" s="4" t="inlineStr">
        <is>
          <t>Min/max cấu hình bằng biến (dev min 0 max 2; demo min 1 max 2, có thể 4); EBS gp3 20-30 GB.</t>
        </is>
      </c>
      <c r="G59" s="4" t="inlineStr">
        <is>
          <t>Hạ tầng + Xử lý</t>
        </is>
      </c>
      <c r="H59" s="4" t="inlineStr">
        <is>
          <t>Auto Scaling Group tvc-{env}-worker-asg; Spot; EBS</t>
        </is>
      </c>
      <c r="I59" s="20" t="inlineStr">
        <is>
          <t>G,E</t>
        </is>
      </c>
      <c r="J59" s="4" t="inlineStr">
        <is>
          <t>Lựa chọn chi phí trung tâm của lời giải: Spot + min 0 tiết kiệm nhất nhưng đổi cold start 2-4 phút và rủi ro hết capacity, nên phải dùng nhiều loại máy nhỏ và giữ ASG+SQS nguyên thiết kế.</t>
        </is>
      </c>
      <c r="K59" s="4" t="inlineStr">
        <is>
          <t>docs-cloud/3 §8; introduction/1 §8.3</t>
        </is>
      </c>
      <c r="L59" s="20" t="inlineStr">
        <is>
          <t>2–3</t>
        </is>
      </c>
      <c r="M59" s="18" t="inlineStr">
        <is>
          <t>High</t>
        </is>
      </c>
      <c r="N59" s="21" t="n"/>
      <c r="O59" s="4" t="inlineStr">
        <is>
          <t>Nguyên</t>
        </is>
      </c>
      <c r="P59" s="4" t="inlineStr">
        <is>
          <t>Vũ (SIGTERM)</t>
        </is>
      </c>
      <c r="Q59" s="23" t="inlineStr">
        <is>
          <t>❌ Chưa có</t>
        </is>
      </c>
      <c r="R59" s="4" t="inlineStr">
        <is>
          <t>Min 0 chỉ bật sau khi kiểm chứng đánh thức 0→1</t>
        </is>
      </c>
      <c r="S59" s="4" t="inlineStr">
        <is>
          <t>docs-cloud/3 §8; docs-cloud/2 §3 Sprint 3</t>
        </is>
      </c>
    </row>
    <row r="60">
      <c r="A60" s="20" t="n">
        <v>57</v>
      </c>
      <c r="B60" s="20" t="inlineStr">
        <is>
          <t>A09.4</t>
        </is>
      </c>
      <c r="C60" s="20" t="inlineStr">
        <is>
          <t>TASK</t>
        </is>
      </c>
      <c r="D60" s="4" t="inlineStr">
        <is>
          <t>user-data: đọc /tvc/{env}/worker/image-tag, ECR login/pull, chạy container</t>
        </is>
      </c>
      <c r="E60" s="20" t="inlineStr"/>
      <c r="F60" s="4" t="inlineStr">
        <is>
          <t>Docker + SSM Agent; restart/log; tên tài nguyên đúng mẫu tvc-{env}-worker-asg để script dùng cứng.</t>
        </is>
      </c>
      <c r="G60" s="4" t="inlineStr">
        <is>
          <t>Hạ tầng + Xử lý</t>
        </is>
      </c>
      <c r="H60" s="4" t="inlineStr">
        <is>
          <t>Launch Template user-data; SSM; ECR</t>
        </is>
      </c>
      <c r="I60" s="20" t="inlineStr">
        <is>
          <t>G,E</t>
        </is>
      </c>
      <c r="J60" s="4" t="inlineStr">
        <is>
          <t>Là cơ chế phát hành phiên bản của worker: thay image tag trong SSM rồi Instance Refresh, không cần SSH - tức phiên bản được quản lý như dữ liệu cấu hình.</t>
        </is>
      </c>
      <c r="K60" s="4" t="inlineStr">
        <is>
          <t>docs-cloud/3 §4, §9; scripts/bump-worker-tag.sh</t>
        </is>
      </c>
      <c r="L60" s="20" t="inlineStr">
        <is>
          <t>2–3</t>
        </is>
      </c>
      <c r="M60" s="18" t="inlineStr">
        <is>
          <t>High</t>
        </is>
      </c>
      <c r="N60" s="21" t="n"/>
      <c r="O60" s="4" t="inlineStr">
        <is>
          <t>Nguyên</t>
        </is>
      </c>
      <c r="P60" s="4" t="inlineStr">
        <is>
          <t>Vũ</t>
        </is>
      </c>
      <c r="Q60" s="23" t="inlineStr">
        <is>
          <t>❌ Chưa có</t>
        </is>
      </c>
      <c r="R60" s="4" t="inlineStr">
        <is>
          <t>Trả refresh ID không đồng nghĩa deploy thành công</t>
        </is>
      </c>
      <c r="S60" s="4" t="inlineStr">
        <is>
          <t>docs-cloud/4 §7.2; introduction/1 §8.5</t>
        </is>
      </c>
    </row>
    <row r="61">
      <c r="A61" s="20" t="n">
        <v>58</v>
      </c>
      <c r="B61" s="20" t="inlineStr">
        <is>
          <t>A09.5</t>
        </is>
      </c>
      <c r="C61" s="20" t="inlineStr">
        <is>
          <t>TASK</t>
        </is>
      </c>
      <c r="D61" s="4" t="inlineStr">
        <is>
          <t>Session Manager (không SSH) + kiểm tra Service Quotas</t>
        </is>
      </c>
      <c r="E61" s="20" t="inlineStr"/>
      <c r="F61" s="4" t="inlineStr">
        <is>
          <t>Quyền EC2/SSM/ECR; quota vCPU on-demand và Spot; xin tăng nếu cần; cảnh báo ngân sách sớm.</t>
        </is>
      </c>
      <c r="G61" s="4" t="inlineStr">
        <is>
          <t>Hạ tầng / Vận hành</t>
        </is>
      </c>
      <c r="H61" s="4" t="inlineStr">
        <is>
          <t>SSM Session Manager; Service Quotas; AWS Budgets</t>
        </is>
      </c>
      <c r="I61" s="20" t="inlineStr">
        <is>
          <t>G</t>
        </is>
      </c>
      <c r="J61" s="4" t="inlineStr">
        <is>
          <t>Là bước kiểm tra 'có chạy được không' trước khi code: tài khoản mới thường có hạn mức vCPU thấp, 4 worker 2 vCPU + 1 API có thể vượt - phát hiện muộn sẽ phá mốc M2.</t>
        </is>
      </c>
      <c r="K61" s="4" t="inlineStr">
        <is>
          <t>docs-cloud/4 §6.1; introduction/1 §8.3</t>
        </is>
      </c>
      <c r="L61" s="20" t="inlineStr">
        <is>
          <t>2–3</t>
        </is>
      </c>
      <c r="M61" s="18" t="inlineStr">
        <is>
          <t>High</t>
        </is>
      </c>
      <c r="N61" s="21" t="n"/>
      <c r="O61" s="4" t="inlineStr">
        <is>
          <t>Nguyên</t>
        </is>
      </c>
      <c r="P61" s="4" t="inlineStr"/>
      <c r="Q61" s="23" t="inlineStr">
        <is>
          <t>❌ Chưa kiểm chứng quota</t>
        </is>
      </c>
      <c r="R61" s="4" t="inlineStr">
        <is>
          <t>Hành động ngay trong tuần 7</t>
        </is>
      </c>
      <c r="S61" s="4" t="inlineStr">
        <is>
          <t>introduction/1 §5.C3, §8.3; docs-cloud/4 §6.1</t>
        </is>
      </c>
    </row>
    <row r="62">
      <c r="A62" s="20" t="n">
        <v>59</v>
      </c>
      <c r="B62" s="20" t="inlineStr">
        <is>
          <t>A09.6</t>
        </is>
      </c>
      <c r="C62" s="20" t="inlineStr">
        <is>
          <t>TASK</t>
        </is>
      </c>
      <c r="D62" s="4" t="inlineStr">
        <is>
          <t>Hoàn thiện script deploy API và worker</t>
        </is>
      </c>
      <c r="E62" s="20" t="inlineStr"/>
      <c r="F62" s="4" t="inlineStr">
        <is>
          <t>deploy-api.sh: đọc secret/config, chạy Tunnel, chờ kết quả SSM, health check, bind loopback, rollback. bump-worker-tag.sh: theo dõi refresh tới thành công/thất bại, ghi tag cũ trước khi đổi.</t>
        </is>
      </c>
      <c r="G62" s="4" t="inlineStr">
        <is>
          <t>Vận hành</t>
        </is>
      </c>
      <c r="H62" s="4" t="inlineStr">
        <is>
          <t>scripts/deploy-api.sh, scripts/bump-worker-tag.sh; SSM; ASG</t>
        </is>
      </c>
      <c r="I62" s="20" t="inlineStr">
        <is>
          <t>G</t>
        </is>
      </c>
      <c r="J62" s="4" t="inlineStr">
        <is>
          <t>Là đường phát hành thật của P0 ngay cả khi C6 (CI/CD) bị hoãn: deploy bằng script vẫn đạt mục tiêu môn học, miễn là có kiểm chứng hoàn tất thay vì chỉ gửi lệnh.</t>
        </is>
      </c>
      <c r="K62" s="4" t="inlineStr">
        <is>
          <t>docs-cloud/4 §7.2</t>
        </is>
      </c>
      <c r="L62" s="20" t="inlineStr">
        <is>
          <t>2–3</t>
        </is>
      </c>
      <c r="M62" s="18" t="inlineStr">
        <is>
          <t>High</t>
        </is>
      </c>
      <c r="N62" s="21" t="n"/>
      <c r="O62" s="4" t="inlineStr">
        <is>
          <t>Nguyên</t>
        </is>
      </c>
      <c r="P62" s="4" t="inlineStr">
        <is>
          <t>Lưu</t>
        </is>
      </c>
      <c r="Q62" s="22" t="inlineStr">
        <is>
          <t>⭕ Script khung, còn TODO env/secret/Tunnel/health/rollback</t>
        </is>
      </c>
      <c r="R62" s="4" t="inlineStr"/>
      <c r="S62" s="4" t="inlineStr">
        <is>
          <t>docs-cloud/4 §7.2; docs-common/2 §2.2</t>
        </is>
      </c>
    </row>
    <row r="63">
      <c r="A63" s="20" t="n">
        <v>60</v>
      </c>
      <c r="B63" s="20" t="inlineStr">
        <is>
          <t>A09.7</t>
        </is>
      </c>
      <c r="C63" s="20" t="inlineStr">
        <is>
          <t>TASK</t>
        </is>
      </c>
      <c r="D63" s="4" t="inlineStr">
        <is>
          <t>Tạo Cloudflare Tunnel và hostname origin-api.&lt;domain&gt;</t>
        </is>
      </c>
      <c r="E63" s="20" t="inlineStr"/>
      <c r="F63" s="4" t="inlineStr">
        <is>
          <t>Route tới http://localhost:8080; token lưu SecureString; bước thủ công một lần phải ghi lại trong docs/.</t>
        </is>
      </c>
      <c r="G63" s="4" t="inlineStr">
        <is>
          <t>Edge / Mạng</t>
        </is>
      </c>
      <c r="H63" s="4" t="inlineStr">
        <is>
          <t>cloudflared trên EC2; Cloudflare Tunnel</t>
        </is>
      </c>
      <c r="I63" s="20" t="inlineStr">
        <is>
          <t>G</t>
        </is>
      </c>
      <c r="J63" s="4" t="inlineStr">
        <is>
          <t>Tunnel thay thế việc mở inbound Internet cho API, và nhờ chứng chỉ do Cloudflare cấp nên CloudFront nối tới origin không còn lỗi certificate như bản thiết kế dùng tên DNS mặc định của EC2.</t>
        </is>
      </c>
      <c r="K63" s="4" t="inlineStr">
        <is>
          <t>docs-cloud/4 §7.1</t>
        </is>
      </c>
      <c r="L63" s="20" t="inlineStr">
        <is>
          <t>2–3</t>
        </is>
      </c>
      <c r="M63" s="18" t="inlineStr">
        <is>
          <t>High</t>
        </is>
      </c>
      <c r="N63" s="21" t="n"/>
      <c r="O63" s="4" t="inlineStr">
        <is>
          <t>Nguyên</t>
        </is>
      </c>
      <c r="P63" s="4" t="inlineStr"/>
      <c r="Q63" s="23" t="inlineStr">
        <is>
          <t>❌ Chưa có</t>
        </is>
      </c>
      <c r="R63" s="4" t="inlineStr">
        <is>
          <t>Upload thẳng S3 nên không bị giới hạn kích thước request của Cloudflare</t>
        </is>
      </c>
      <c r="S63" s="4" t="inlineStr">
        <is>
          <t>introduction/1 §8.1</t>
        </is>
      </c>
    </row>
    <row r="64">
      <c r="A64" s="20" t="n">
        <v>61</v>
      </c>
      <c r="B64" s="20" t="inlineStr">
        <is>
          <t>A09.8</t>
        </is>
      </c>
      <c r="C64" s="20" t="inlineStr">
        <is>
          <t>TASK</t>
        </is>
      </c>
      <c r="D64" s="4" t="inlineStr">
        <is>
          <t>CloudFront 3 behavior + origin request policy AllViewerExceptHostHeader</t>
        </is>
      </c>
      <c r="E64" s="20" t="inlineStr"/>
      <c r="F64" s="4" t="inlineStr">
        <is>
          <t>/api/*: CachingDisabled, cho phép method API, chuyển auth/cookie/query, giữ /api; default * → S3 frontend REST với OAC và default root index.html.</t>
        </is>
      </c>
      <c r="G64" s="4" t="inlineStr">
        <is>
          <t>Edge</t>
        </is>
      </c>
      <c r="H64" s="4" t="inlineStr">
        <is>
          <t>CloudFront distribution, cache policy, origin request policy, OAC</t>
        </is>
      </c>
      <c r="I64" s="20" t="inlineStr">
        <is>
          <t>G,F</t>
        </is>
      </c>
      <c r="J64" s="4" t="inlineStr">
        <is>
          <t>Behavior /api/* phải chứng minh được với JWT/API key thật; lỗi điển hình là cache trả dữ liệu của người khác cho người dùng khác, phá vỡ ownership đã enforce ở tầng ứng dụng.</t>
        </is>
      </c>
      <c r="K64" s="4" t="inlineStr">
        <is>
          <t>docs-cloud/3 §7</t>
        </is>
      </c>
      <c r="L64" s="20" t="inlineStr">
        <is>
          <t>2–3</t>
        </is>
      </c>
      <c r="M64" s="18" t="inlineStr">
        <is>
          <t>High</t>
        </is>
      </c>
      <c r="N64" s="21" t="n"/>
      <c r="O64" s="4" t="inlineStr">
        <is>
          <t>Nguyên</t>
        </is>
      </c>
      <c r="P64" s="4" t="inlineStr">
        <is>
          <t>Phương (auth header)</t>
        </is>
      </c>
      <c r="Q64" s="23" t="inlineStr">
        <is>
          <t>❌ Chưa có</t>
        </is>
      </c>
      <c r="R64" s="4" t="inlineStr"/>
      <c r="S64" s="4" t="inlineStr">
        <is>
          <t>docs-cloud/3 §7; docs-cloud/4 §8.1</t>
        </is>
      </c>
    </row>
    <row r="65">
      <c r="A65" s="20" t="n">
        <v>62</v>
      </c>
      <c r="B65" s="20" t="inlineStr">
        <is>
          <t>A09.9</t>
        </is>
      </c>
      <c r="C65" s="20" t="inlineStr">
        <is>
          <t>TASK</t>
        </is>
      </c>
      <c r="D65" s="4" t="inlineStr">
        <is>
          <t>CloudFront Function rewrite bỏ /media cho behavior media</t>
        </is>
      </c>
      <c r="E65" s="20" t="inlineStr"/>
      <c r="F65" s="4" t="inlineStr">
        <is>
          <t>Đổi /media/{projectId}/{videoId}/hls/master.m3u8 thành /{projectId}/{videoId}/hls/master.m3u8; gắn function riêng cho behavior media.</t>
        </is>
      </c>
      <c r="G65" s="4" t="inlineStr">
        <is>
          <t>Edge + Dữ liệu</t>
        </is>
      </c>
      <c r="H65" s="4" t="inlineStr">
        <is>
          <t>CloudFront Function viewer-request; S3 output key layout</t>
        </is>
      </c>
      <c r="I65" s="20" t="inlineStr">
        <is>
          <t>G,E,F</t>
        </is>
      </c>
      <c r="J65" s="4" t="inlineStr">
        <is>
          <t>Điểm bắt buộc hay bị bỏ: behavior chỉ chọn origin, không tự cắt tiền tố. Nếu không rewrite thì key S3 theo hợp đồng (không prefix media/) sẽ 404, trong khi local nginx đã rewrite tương đương nên lỗi chỉ lộ ra trên AWS.</t>
        </is>
      </c>
      <c r="K65" s="4" t="inlineStr">
        <is>
          <t>docs-cloud/3 §7; s3-key-convention.md</t>
        </is>
      </c>
      <c r="L65" s="20" t="inlineStr">
        <is>
          <t>2–3</t>
        </is>
      </c>
      <c r="M65" s="18" t="inlineStr">
        <is>
          <t>High</t>
        </is>
      </c>
      <c r="N65" s="21" t="n"/>
      <c r="O65" s="4" t="inlineStr">
        <is>
          <t>Nguyên</t>
        </is>
      </c>
      <c r="P65" s="4" t="inlineStr">
        <is>
          <t>Vũ (key layout), Lưu</t>
        </is>
      </c>
      <c r="Q65" s="23" t="inlineStr">
        <is>
          <t>❌ Chưa có</t>
        </is>
      </c>
      <c r="R65" s="4" t="inlineStr">
        <is>
          <t>TTL/invalidation khi xử lý lại phải thống nhất với App</t>
        </is>
      </c>
      <c r="S65" s="4" t="inlineStr">
        <is>
          <t>docs-cloud/3 §7</t>
        </is>
      </c>
    </row>
    <row r="66">
      <c r="A66" s="20" t="n">
        <v>63</v>
      </c>
      <c r="B66" s="20" t="inlineStr">
        <is>
          <t>A09.10</t>
        </is>
      </c>
      <c r="C66" s="20" t="inlineStr">
        <is>
          <t>TASK</t>
        </is>
      </c>
      <c r="D66" s="4" t="inlineStr">
        <is>
          <t>OAC + bucket policy cho output và frontend</t>
        </is>
      </c>
      <c r="E66" s="20" t="inlineStr"/>
      <c r="F66" s="4" t="inlineStr">
        <is>
          <t>Dùng S3 REST origin (website endpoint không dùng được OAC); policy giới hạn đúng distribution ID.</t>
        </is>
      </c>
      <c r="G66" s="4" t="inlineStr">
        <is>
          <t>Edge + Dữ liệu</t>
        </is>
      </c>
      <c r="H66" s="4" t="inlineStr">
        <is>
          <t>CloudFront OAC; S3 bucket policy</t>
        </is>
      </c>
      <c r="I66" s="20" t="inlineStr">
        <is>
          <t>G</t>
        </is>
      </c>
      <c r="J66" s="4" t="inlineStr">
        <is>
          <t>Giữ cả hai bucket private là điều kiện để 'link S3 trực tiếp không public' - một trong các kiểm tra nghiệm thu C4.</t>
        </is>
      </c>
      <c r="K66" s="4" t="inlineStr">
        <is>
          <t>docs-cloud/3 §7</t>
        </is>
      </c>
      <c r="L66" s="20" t="inlineStr">
        <is>
          <t>2–3</t>
        </is>
      </c>
      <c r="M66" s="18" t="inlineStr">
        <is>
          <t>High</t>
        </is>
      </c>
      <c r="N66" s="21" t="n"/>
      <c r="O66" s="4" t="inlineStr">
        <is>
          <t>Nguyên</t>
        </is>
      </c>
      <c r="P66" s="4" t="inlineStr">
        <is>
          <t>Lưu</t>
        </is>
      </c>
      <c r="Q66" s="23" t="inlineStr">
        <is>
          <t>❌ Chưa có</t>
        </is>
      </c>
      <c r="R66" s="4" t="inlineStr">
        <is>
          <t>OAC không tự xác thực người xem HLS (kiểm soát playback là phần ngoài MVP)</t>
        </is>
      </c>
      <c r="S66" s="4" t="inlineStr">
        <is>
          <t>docs-cloud/3 §7</t>
        </is>
      </c>
    </row>
    <row r="67">
      <c r="A67" s="20" t="n">
        <v>64</v>
      </c>
      <c r="B67" s="20" t="inlineStr">
        <is>
          <t>A09.11</t>
        </is>
      </c>
      <c r="C67" s="20" t="inlineStr">
        <is>
          <t>TASK</t>
        </is>
      </c>
      <c r="D67" s="4" t="inlineStr">
        <is>
          <t>Hosting React trong bucket frontend (0,5 pd phần Lưu)</t>
        </is>
      </c>
      <c r="E67" s="20" t="inlineStr"/>
      <c r="F67" s="4" t="inlineStr">
        <is>
          <t>Build bằng lệnh App cung cấp, upload artifact private; fallback route React giới hạn ở frontend, không áp cho API/media.</t>
        </is>
      </c>
      <c r="G67" s="4" t="inlineStr">
        <is>
          <t>Trình bày / Edge</t>
        </is>
      </c>
      <c r="H67" s="4" t="inlineStr">
        <is>
          <t>S3 tvc-{env}-frontend; CloudFront default behavior</t>
        </is>
      </c>
      <c r="I67" s="20" t="inlineStr">
        <is>
          <t>G,F</t>
        </is>
      </c>
      <c r="J67" s="4" t="inlineStr">
        <is>
          <t>SPA fallback mà áp cả /api và /media sẽ biến lỗi API 404/502 thành HTML 200 - một lỗi tích hợp khó phát hiện nếu không kiểm tra deep link React.</t>
        </is>
      </c>
      <c r="K67" s="4" t="inlineStr">
        <is>
          <t>docs-cloud/3 §7; docs-cloud/4 §8.1</t>
        </is>
      </c>
      <c r="L67" s="20" t="inlineStr">
        <is>
          <t>2–3</t>
        </is>
      </c>
      <c r="M67" s="18" t="inlineStr">
        <is>
          <t>High</t>
        </is>
      </c>
      <c r="N67" s="21" t="n"/>
      <c r="O67" s="4" t="inlineStr">
        <is>
          <t>Lưu</t>
        </is>
      </c>
      <c r="P67" s="4" t="inlineStr">
        <is>
          <t>Vũ</t>
        </is>
      </c>
      <c r="Q67" s="23" t="inlineStr">
        <is>
          <t>❌ Chưa có</t>
        </is>
      </c>
      <c r="R67" s="4" t="inlineStr"/>
      <c r="S67" s="4" t="inlineStr">
        <is>
          <t>docs-cloud/3 §7; docs-cloud/4 §8.1</t>
        </is>
      </c>
    </row>
    <row r="68">
      <c r="A68" s="20" t="n">
        <v>65</v>
      </c>
      <c r="B68" s="20" t="inlineStr">
        <is>
          <t>A09.12</t>
        </is>
      </c>
      <c r="C68" s="20" t="inlineStr">
        <is>
          <t>TASK</t>
        </is>
      </c>
      <c r="D68" s="4" t="inlineStr">
        <is>
          <t>Domain riêng + ACM us-east-1 + CNAME Cloudflare (DNS only)</t>
        </is>
      </c>
      <c r="E68" s="20" t="inlineStr"/>
      <c r="F68" s="4" t="inlineStr">
        <is>
          <t>Chỉ làm khi pipeline đã ổn; certificate phải ở us-east-1 cho CloudFront.</t>
        </is>
      </c>
      <c r="G68" s="4" t="inlineStr">
        <is>
          <t>Edge</t>
        </is>
      </c>
      <c r="H68" s="4" t="inlineStr">
        <is>
          <t>ACM; CloudFront alternate domain names; Cloudflare DNS</t>
        </is>
      </c>
      <c r="I68" s="20" t="inlineStr">
        <is>
          <t>G</t>
        </is>
      </c>
      <c r="J68" s="4" t="inlineStr">
        <is>
          <t>Không thuộc đường găng: *.cloudfront.net mặc định đã đủ nghiệm thu M3, nên đây là việc cắt đầu tiên sau P1 trong thứ tự giảm phạm vi.</t>
        </is>
      </c>
      <c r="K68" s="4" t="inlineStr">
        <is>
          <t>docs-cloud/3 §7; introduction/1 §7</t>
        </is>
      </c>
      <c r="L68" s="20" t="inlineStr">
        <is>
          <t>2–3</t>
        </is>
      </c>
      <c r="M68" s="26" t="inlineStr">
        <is>
          <t>Low</t>
        </is>
      </c>
      <c r="N68" s="21" t="n"/>
      <c r="O68" s="4" t="inlineStr">
        <is>
          <t>Nguyên</t>
        </is>
      </c>
      <c r="P68" s="4" t="inlineStr"/>
      <c r="Q68" s="23" t="inlineStr">
        <is>
          <t>⚪ Ngoài cam kết (cắt thứ tự 2)</t>
        </is>
      </c>
      <c r="R68" s="4" t="inlineStr"/>
      <c r="S68" s="4" t="inlineStr">
        <is>
          <t>introduction/1 §7 mục 2; docs-common/4 §4.4</t>
        </is>
      </c>
    </row>
    <row r="69">
      <c r="A69" s="16" t="n">
        <v>66</v>
      </c>
      <c r="B69" s="16" t="inlineStr">
        <is>
          <t>A10</t>
        </is>
      </c>
      <c r="C69" s="16" t="inlineStr">
        <is>
          <t>EPIC</t>
        </is>
      </c>
      <c r="D69" s="17" t="inlineStr">
        <is>
          <t>Kiểm thử E2E và tích hợp</t>
        </is>
      </c>
      <c r="E69" s="16" t="inlineStr">
        <is>
          <t>[1]–[10]</t>
        </is>
      </c>
      <c r="F69" s="17" t="inlineStr">
        <is>
          <t>Runner e2e nhận BASE_URL + nối Makefile + exit code; kịch bản upload → COMPLETED → phát qua CloudFront trên AWS; các ca vượt giới hạn (413, 422, DURATION_EXCEEDED, HEIGHT_EXCEEDED, NOT_A_VIDEO); kiểm tra ownership giữa hai user; log không lộ secret. Xong khi: chạy một lệnh trên môi trường thật, tái lập được.</t>
        </is>
      </c>
      <c r="G69" s="17" t="inlineStr">
        <is>
          <t>Kiểm chứng</t>
        </is>
      </c>
      <c r="H69" s="17" t="inlineStr">
        <is>
          <t>tests/e2e/, LocalStack + AWS thật, worker + frontend + API</t>
        </is>
      </c>
      <c r="I69" s="16" t="inlineStr">
        <is>
          <t>E2E (A–H)</t>
        </is>
      </c>
      <c r="J69" s="17" t="inlineStr">
        <is>
          <t>Là phép thử duy nhất đi qua cả ba tầng và edge cùng lúc ([1]–[10]), nên nó lộ đúng những chỗ hợp đồng lệch: tên field, mã lỗi, thứ tự trạng thái, Content-Type của HLS qua CloudFront. Không có e2e thì mỗi nhóm chỉ tin phần của mình.</t>
        </is>
      </c>
      <c r="K69" s="17" t="inlineStr">
        <is>
          <t>openapi.yaml; docs-common/3; docs-cloud/4 §M2/M3</t>
        </is>
      </c>
      <c r="L69" s="16" t="inlineStr">
        <is>
          <t>3–4</t>
        </is>
      </c>
      <c r="M69" s="18" t="inlineStr">
        <is>
          <t>High</t>
        </is>
      </c>
      <c r="N69" s="19" t="n">
        <v>3</v>
      </c>
      <c r="O69" s="17" t="inlineStr">
        <is>
          <t>Lưu</t>
        </is>
      </c>
      <c r="P69" s="17" t="inlineStr">
        <is>
          <t>Vũ (A12), Phương, Nguyên</t>
        </is>
      </c>
      <c r="Q69" s="17" t="inlineStr">
        <is>
          <t>❌ tests/e2e chỉ có README</t>
        </is>
      </c>
      <c r="R69" s="17" t="inlineStr">
        <is>
          <t>Phụ thuộc gần như mọi hạng mục; nếu dồn hết vào sprint 4 sẽ không còn thời gian sửa lỗi phát hiện được</t>
        </is>
      </c>
      <c r="S69" s="17" t="inlineStr">
        <is>
          <t>Progress 2 §3.2 dòng A10; docs-cloud/4 §8; docs-common/2</t>
        </is>
      </c>
    </row>
    <row r="70">
      <c r="A70" s="20" t="n">
        <v>67</v>
      </c>
      <c r="B70" s="20" t="inlineStr">
        <is>
          <t>A10.1</t>
        </is>
      </c>
      <c r="C70" s="20" t="inlineStr">
        <is>
          <t>TASK</t>
        </is>
      </c>
      <c r="D70" s="4" t="inlineStr">
        <is>
          <t>Runner e2e nhận BASE_URL + nối Makefile + exit code</t>
        </is>
      </c>
      <c r="E70" s="20" t="inlineStr"/>
      <c r="F70" s="4" t="inlineStr">
        <is>
          <t>Kịch bản: đăng ký/đăng nhập → project → tạo video → PUT S3 → confirm → poll COMPLETED; thất bại phải trả exit code != 0.</t>
        </is>
      </c>
      <c r="G70" s="4" t="inlineStr">
        <is>
          <t>Ngang hệ thống</t>
        </is>
      </c>
      <c r="H70" s="4" t="inlineStr">
        <is>
          <t>tests/e2e/; nginx local :8000 hoặc CloudFront</t>
        </is>
      </c>
      <c r="I70" s="20" t="inlineStr">
        <is>
          <t>H,G</t>
        </is>
      </c>
      <c r="J70" s="4" t="inlineStr">
        <is>
          <t>Một bộ kịch bản chạy cả local lẫn cloud là cách kiểm chứng nguyên tắc 'cùng code, khác cấu hình' ở cấp hệ thống, đồng thời là điều kiện merge/deploy đáng tin cậy.</t>
        </is>
      </c>
      <c r="K70" s="4" t="inlineStr">
        <is>
          <t>docs-cloud/4 §5; tests/e2e/README.md</t>
        </is>
      </c>
      <c r="L70" s="20" t="inlineStr">
        <is>
          <t>3–4</t>
        </is>
      </c>
      <c r="M70" s="18" t="inlineStr">
        <is>
          <t>High</t>
        </is>
      </c>
      <c r="N70" s="21" t="n"/>
      <c r="O70" s="4" t="inlineStr">
        <is>
          <t>Lưu</t>
        </is>
      </c>
      <c r="P70" s="4" t="inlineStr">
        <is>
          <t>Phương, Vũ</t>
        </is>
      </c>
      <c r="Q70" s="23" t="inlineStr">
        <is>
          <t>❌ Chưa có runner</t>
        </is>
      </c>
      <c r="R70" s="4" t="inlineStr">
        <is>
          <t>Không dùng kết quả placeholder make e2e làm bằng chứng</t>
        </is>
      </c>
      <c r="S70" s="4" t="inlineStr">
        <is>
          <t>docs-cloud/2 §3 Sprint 2</t>
        </is>
      </c>
    </row>
    <row r="71">
      <c r="A71" s="20" t="n">
        <v>68</v>
      </c>
      <c r="B71" s="20" t="inlineStr">
        <is>
          <t>A10.2</t>
        </is>
      </c>
      <c r="C71" s="20" t="inlineStr">
        <is>
          <t>TASK</t>
        </is>
      </c>
      <c r="D71" s="4" t="inlineStr">
        <is>
          <t>Ca vượt giới hạn upload trong bộ e2e</t>
        </is>
      </c>
      <c r="E71" s="20" t="inlineStr"/>
      <c r="F71" s="4" t="inlineStr">
        <is>
          <t>Khai báo/file vượt 209715200 byte bị chặn; input quá 300 s / 1080p bị worker từ chối đúng contract.</t>
        </is>
      </c>
      <c r="G71" s="4" t="inlineStr">
        <is>
          <t>Ngang hệ thống + Dữ liệu</t>
        </is>
      </c>
      <c r="H71" s="4" t="inlineStr">
        <is>
          <t>API module C; worker validate; lifecycle S3</t>
        </is>
      </c>
      <c r="I71" s="20" t="inlineStr">
        <is>
          <t>H,C,E</t>
        </is>
      </c>
      <c r="J71" s="4" t="inlineStr">
        <is>
          <t>Kiểm tra đồng thời cả ba tầng bảo vệ giới hạn (API, worker, dọn dẹp) - đây là cách chứng minh ràng buộc nghiệp vụ thật sự nằm trong kiến trúc chứ không chỉ trong tài liệu.</t>
        </is>
      </c>
      <c r="K71" s="4" t="inlineStr">
        <is>
          <t>upload-limits.md</t>
        </is>
      </c>
      <c r="L71" s="20" t="inlineStr">
        <is>
          <t>3–4</t>
        </is>
      </c>
      <c r="M71" s="18" t="inlineStr">
        <is>
          <t>High</t>
        </is>
      </c>
      <c r="N71" s="21" t="n"/>
      <c r="O71" s="4" t="inlineStr">
        <is>
          <t>Lưu</t>
        </is>
      </c>
      <c r="P71" s="4" t="inlineStr">
        <is>
          <t>Vũ, Phương</t>
        </is>
      </c>
      <c r="Q71" s="23" t="inlineStr">
        <is>
          <t>❌ Chưa có</t>
        </is>
      </c>
      <c r="R71" s="4" t="inlineStr"/>
      <c r="S71" s="4" t="inlineStr">
        <is>
          <t>docs-cloud/4 §5</t>
        </is>
      </c>
    </row>
    <row r="72">
      <c r="A72" s="16" t="n">
        <v>69</v>
      </c>
      <c r="B72" s="16" t="inlineStr">
        <is>
          <t>A11</t>
        </is>
      </c>
      <c r="C72" s="16" t="inlineStr">
        <is>
          <t>EPIC</t>
        </is>
      </c>
      <c r="D72" s="17" t="inlineStr">
        <is>
          <t>Benchmark và chaos test</t>
        </is>
      </c>
      <c r="E72" s="16" t="inlineStr">
        <is>
          <t>[13], [14]</t>
        </is>
      </c>
      <c r="F72" s="17" t="inlineStr">
        <is>
          <t>Throughput 1 vs 2 worker; thu số liệu submit/start/finish, retry, time-to-play; kill worker giữa job → job hoàn tất ở máy khác; job lỗi 3 lần → DLQ; dashboard backlog/CPU/success-rate; alarm DLQ + SNS; AWS Budgets; target tracking theo backlog. Xong khi: có bảng số liệu và biểu đồ đưa thẳng vào báo cáo.</t>
        </is>
      </c>
      <c r="G72" s="17" t="inlineStr">
        <is>
          <t>Quan sát / Co giãn / Thực nghiệm</t>
        </is>
      </c>
      <c r="H72" s="17" t="inlineStr">
        <is>
          <t>CloudWatch Logs+Metrics+Dashboard+Alarm, SNS, Budgets, ASG scaling policy, k6</t>
        </is>
      </c>
      <c r="I72" s="16" t="inlineStr">
        <is>
          <t>G,H</t>
        </is>
      </c>
      <c r="J72" s="17" t="inlineStr">
        <is>
          <t>[13] giám sát và [14] co giãn là hai mặt của một cơ chế: ASG scale theo backlog SQS, còn CloudWatch là căn cứ của cả scale lẫn số liệu thực nghiệm. Không lắp giám sát thì thí nghiệm scale không đo được, và 'kiến trúc elastic' chỉ còn là tuyên bố.</t>
        </is>
      </c>
      <c r="K72" s="17" t="inlineStr">
        <is>
          <t>docs-cloud/3 (monitoring/scaling); docs-worker/3 §3.11; docs-common/1 §1.5</t>
        </is>
      </c>
      <c r="L72" s="16" t="inlineStr">
        <is>
          <t>4</t>
        </is>
      </c>
      <c r="M72" s="25" t="inlineStr">
        <is>
          <t>Medium</t>
        </is>
      </c>
      <c r="N72" s="19" t="n">
        <v>2</v>
      </c>
      <c r="O72" s="17" t="inlineStr">
        <is>
          <t>Nguyên</t>
        </is>
      </c>
      <c r="P72" s="17" t="inlineStr">
        <is>
          <t>Lưu, Vũ</t>
        </is>
      </c>
      <c r="Q72" s="17" t="inlineStr">
        <is>
          <t>❌ `make chaos` vẫn in 'chưa triển khai'; chưa dashboard/alarm/Budgets/scaling policy</t>
        </is>
      </c>
      <c r="R72" s="17" t="inlineStr">
        <is>
          <t>⚠ Medium nhưng báo cáo bắt buộc có số liệu — đề xuất tách phần *lắp đặt* giám sát/co giãn về cuối A09 (sprint 3), sprint 4 chỉ *chạy* thí nghiệm; benchmark có thể rút còn 1 vs 2 worker (lever ~1,0 pd)</t>
        </is>
      </c>
      <c r="S72" s="17" t="inlineStr">
        <is>
          <t>Progress 2 §3.2 dòng A11, §3.3 lever; docs-cloud/4 §M4</t>
        </is>
      </c>
    </row>
    <row r="73">
      <c r="A73" s="20" t="n">
        <v>70</v>
      </c>
      <c r="B73" s="20" t="inlineStr">
        <is>
          <t>A11.1</t>
        </is>
      </c>
      <c r="C73" s="20" t="inlineStr">
        <is>
          <t>TASK</t>
        </is>
      </c>
      <c r="D73" s="4" t="inlineStr">
        <is>
          <t>Benchmark throughput 1 vs 2 worker</t>
        </is>
      </c>
      <c r="E73" s="20" t="inlineStr"/>
      <c r="F73" s="4" t="inlineStr">
        <is>
          <t>Cùng dataset hợp lệ, cùng image/FFmpeg profile, loại máy on-demand; đo 1 worker rồi 2 worker; tách phép đo throughput cố định khỏi phép đo autoscaling.</t>
        </is>
      </c>
      <c r="G73" s="4" t="inlineStr">
        <is>
          <t>Ngang hệ thống + Xử lý</t>
        </is>
      </c>
      <c r="H73" s="4" t="inlineStr">
        <is>
          <t>EC2 worker on-demand; FFmpeg; queue backlog</t>
        </is>
      </c>
      <c r="I73" s="20" t="inlineStr">
        <is>
          <t>H,E</t>
        </is>
      </c>
      <c r="J73" s="4" t="inlineStr">
        <is>
          <t>Là phép đo chứng minh năng lực 'co giãn theo workload' của lõi dùng chung: 100 video upload từ SaaS hay API hệ thống đều đi qua cùng một queue và cùng một ASG.</t>
        </is>
      </c>
      <c r="K73" s="4" t="inlineStr">
        <is>
          <t>docs-cloud/4 §9; docs-cloud/3 §8</t>
        </is>
      </c>
      <c r="L73" s="20" t="inlineStr">
        <is>
          <t>4</t>
        </is>
      </c>
      <c r="M73" s="18" t="inlineStr">
        <is>
          <t>High</t>
        </is>
      </c>
      <c r="N73" s="21" t="n"/>
      <c r="O73" s="4" t="inlineStr">
        <is>
          <t>Lưu</t>
        </is>
      </c>
      <c r="P73" s="4" t="inlineStr">
        <is>
          <t>Vũ, Nguyên</t>
        </is>
      </c>
      <c r="Q73" s="23" t="inlineStr">
        <is>
          <t>❌ Chưa có</t>
        </is>
      </c>
      <c r="R73" s="4" t="inlineStr">
        <is>
          <t>Dòng t3 có CPU credits - dùng dòng c khi benchmark</t>
        </is>
      </c>
      <c r="S73" s="4" t="inlineStr">
        <is>
          <t>introduction/1 §8.3; docs-cloud/4 §9</t>
        </is>
      </c>
    </row>
    <row r="74">
      <c r="A74" s="20" t="n">
        <v>71</v>
      </c>
      <c r="B74" s="20" t="inlineStr">
        <is>
          <t>A11.2</t>
        </is>
      </c>
      <c r="C74" s="20" t="inlineStr">
        <is>
          <t>TASK</t>
        </is>
      </c>
      <c r="D74" s="4" t="inlineStr">
        <is>
          <t>Thu số liệu: submit/start/finish, retry, time-to-playable</t>
        </is>
      </c>
      <c r="E74" s="20" t="inlineStr"/>
      <c r="F74" s="4" t="inlineStr">
        <is>
          <t>Lưu commit/image digest, region/instance type, số worker, dung lượng/thời lượng input, thời điểm, retry, success/failure, chi phí theo khoảng đo; tính throughput/chờ/xử lý.</t>
        </is>
      </c>
      <c r="G74" s="4" t="inlineStr">
        <is>
          <t>Ngang hệ thống + Quan sát</t>
        </is>
      </c>
      <c r="H74" s="4" t="inlineStr">
        <is>
          <t>CloudWatch metric/log; dữ liệu thô + biểu đồ trong docs/report/</t>
        </is>
      </c>
      <c r="I74" s="20" t="inlineStr">
        <is>
          <t>H,G</t>
        </is>
      </c>
      <c r="J74" s="4" t="inlineStr">
        <is>
          <t>Số liệu là đầu vào trực tiếp của báo cáo (R1) và là căn cứ hiệu chỉnh target scaling ở C5.6 - tức vòng phản hồi từ tầng kiểm chứng về tầng vận hành.</t>
        </is>
      </c>
      <c r="K74" s="4" t="inlineStr">
        <is>
          <t>docs-cloud/4 §9</t>
        </is>
      </c>
      <c r="L74" s="20" t="inlineStr">
        <is>
          <t>4</t>
        </is>
      </c>
      <c r="M74" s="18" t="inlineStr">
        <is>
          <t>High</t>
        </is>
      </c>
      <c r="N74" s="21" t="n"/>
      <c r="O74" s="4" t="inlineStr">
        <is>
          <t>Lưu</t>
        </is>
      </c>
      <c r="P74" s="4" t="inlineStr">
        <is>
          <t>Vũ</t>
        </is>
      </c>
      <c r="Q74" s="23" t="inlineStr">
        <is>
          <t>❌ Chưa có</t>
        </is>
      </c>
      <c r="R74" s="4" t="inlineStr">
        <is>
          <t>M4 cần dữ liệu thô + cấu hình từng lần đo, không chỉ chụp dashboard</t>
        </is>
      </c>
      <c r="S74" s="4" t="inlineStr">
        <is>
          <t>docs-cloud/2 §3 Sprint 4</t>
        </is>
      </c>
    </row>
    <row r="75">
      <c r="A75" s="20" t="n">
        <v>72</v>
      </c>
      <c r="B75" s="20" t="inlineStr">
        <is>
          <t>A11.3</t>
        </is>
      </c>
      <c r="C75" s="20" t="inlineStr">
        <is>
          <t>TASK</t>
        </is>
      </c>
      <c r="D75" s="4" t="inlineStr">
        <is>
          <t>Một kịch bản worker lỗi trên AWS + kiểm tra DLQ</t>
        </is>
      </c>
      <c r="E75" s="20" t="inlineStr"/>
      <c r="F75" s="4" t="inlineStr">
        <is>
          <t>Dừng worker lúc PROCESSING, quan sát visibility hết hạn và worker khác nhận lại, xác minh output/state; thêm ca lỗi lặp lại đến DLQ.</t>
        </is>
      </c>
      <c r="G75" s="4" t="inlineStr">
        <is>
          <t>Xử lý + Hạ tầng</t>
        </is>
      </c>
      <c r="H75" s="4" t="inlineStr">
        <is>
          <t>SQS visibility/DLQ; ASG Spot; worker shutdown</t>
        </is>
      </c>
      <c r="I75" s="20" t="inlineStr">
        <is>
          <t>E,D,H</t>
        </is>
      </c>
      <c r="J75" s="4" t="inlineStr">
        <is>
          <t>Phép thử duy nhất chứng minh lựa chọn kiến trúc 'Spot + SQS at-least-once + conditional write' là đúng; không dùng kill worker local thay cho phép thử trên AWS.</t>
        </is>
      </c>
      <c r="K75" s="4" t="inlineStr">
        <is>
          <t>docs-cloud/3 §5.2; docs-worker/3 §3.10</t>
        </is>
      </c>
      <c r="L75" s="20" t="inlineStr">
        <is>
          <t>4</t>
        </is>
      </c>
      <c r="M75" s="18" t="inlineStr">
        <is>
          <t>High</t>
        </is>
      </c>
      <c r="N75" s="21" t="n"/>
      <c r="O75" s="4" t="inlineStr">
        <is>
          <t>Lưu</t>
        </is>
      </c>
      <c r="P75" s="4" t="inlineStr">
        <is>
          <t>Vũ, Nguyên</t>
        </is>
      </c>
      <c r="Q75" s="23" t="inlineStr">
        <is>
          <t>❌ Chưa có</t>
        </is>
      </c>
      <c r="R75" s="4" t="inlineStr">
        <is>
          <t>Không sửa tay DynamoDB thành COMPLETED để vượt kiểm thử</t>
        </is>
      </c>
      <c r="S75" s="4" t="inlineStr">
        <is>
          <t>docs-cloud/4 §9</t>
        </is>
      </c>
    </row>
    <row r="76">
      <c r="A76" s="20" t="n">
        <v>73</v>
      </c>
      <c r="B76" s="20" t="inlineStr">
        <is>
          <t>A11.4</t>
        </is>
      </c>
      <c r="C76" s="20" t="inlineStr">
        <is>
          <t>TASK</t>
        </is>
      </c>
      <c r="D76" s="4" t="inlineStr">
        <is>
          <t>Log JSON lên CloudWatch, retention 7 ngày</t>
        </is>
      </c>
      <c r="E76" s="20" t="inlineStr"/>
      <c r="F76" s="4" t="inlineStr">
        <is>
          <t>Mỗi bản ghi một dòng: ts, level, service, jobId, videoId, projectId, msg; local thì log stdout của Docker.</t>
        </is>
      </c>
      <c r="G76" s="4" t="inlineStr">
        <is>
          <t>Quan sát</t>
        </is>
      </c>
      <c r="H76" s="4" t="inlineStr">
        <is>
          <t>CloudWatch Logs; worker logging package</t>
        </is>
      </c>
      <c r="I76" s="20" t="inlineStr">
        <is>
          <t>G,E</t>
        </is>
      </c>
      <c r="J76" s="4" t="inlineStr">
        <is>
          <t>ID chéo jobId/videoId là thứ duy nhất nối được một request API, một message SQS và một job worker thành một câu chuyện điều tra được - điều kiện để A8 thu số liệu.</t>
        </is>
      </c>
      <c r="K76" s="4" t="inlineStr">
        <is>
          <t>docs-worker/3 §3.11; docs-cloud/3 §9</t>
        </is>
      </c>
      <c r="L76" s="20" t="inlineStr">
        <is>
          <t>4</t>
        </is>
      </c>
      <c r="M76" s="18" t="inlineStr">
        <is>
          <t>High</t>
        </is>
      </c>
      <c r="N76" s="21" t="n"/>
      <c r="O76" s="4" t="inlineStr">
        <is>
          <t>Nguyên</t>
        </is>
      </c>
      <c r="P76" s="4" t="inlineStr">
        <is>
          <t>Vũ</t>
        </is>
      </c>
      <c r="Q76" s="22" t="inlineStr">
        <is>
          <t>⭕ Code worker đã log JSON; chưa lên CloudWatch</t>
        </is>
      </c>
      <c r="R76" s="4" t="inlineStr">
        <is>
          <t>Log không chứa secret</t>
        </is>
      </c>
      <c r="S76" s="4" t="inlineStr">
        <is>
          <t>docs-cloud/4 §8.2</t>
        </is>
      </c>
    </row>
    <row r="77">
      <c r="A77" s="20" t="n">
        <v>74</v>
      </c>
      <c r="B77" s="20" t="inlineStr">
        <is>
          <t>A11.5</t>
        </is>
      </c>
      <c r="C77" s="20" t="inlineStr">
        <is>
          <t>TASK</t>
        </is>
      </c>
      <c r="D77" s="4" t="inlineStr">
        <is>
          <t>Dashboard: backlog, tuổi message, số worker, CPU, kết quả job</t>
        </is>
      </c>
      <c r="E77" s="20" t="inlineStr"/>
      <c r="F77" s="4" t="inlineStr">
        <is>
          <t>Namespace TransVidCloud: jobs_completed, jobs_failed (dimension errorCode), processing_duration, queue_wait_duration, retry_count.</t>
        </is>
      </c>
      <c r="G77" s="4" t="inlineStr">
        <is>
          <t>Quan sát + Kiểm chứng</t>
        </is>
      </c>
      <c r="H77" s="4" t="inlineStr">
        <is>
          <t>CloudWatch dashboard; PutMetricData</t>
        </is>
      </c>
      <c r="I77" s="20" t="inlineStr">
        <is>
          <t>G,H,E</t>
        </is>
      </c>
      <c r="J77" s="4" t="inlineStr">
        <is>
          <t xml:space="preserve"> queue_wait_duration = thời điểm nhận message − requestedAt trong message; đây là metric biến một dashboard thành dữ liệu benchmark đầu vào cho R1.</t>
        </is>
      </c>
      <c r="K77" s="4" t="inlineStr">
        <is>
          <t>docs-worker/3 §3.11; docs-cloud/3 §9</t>
        </is>
      </c>
      <c r="L77" s="20" t="inlineStr">
        <is>
          <t>4</t>
        </is>
      </c>
      <c r="M77" s="18" t="inlineStr">
        <is>
          <t>High</t>
        </is>
      </c>
      <c r="N77" s="21" t="n"/>
      <c r="O77" s="4" t="inlineStr">
        <is>
          <t>Nguyên</t>
        </is>
      </c>
      <c r="P77" s="4" t="inlineStr">
        <is>
          <t>Vũ, Lưu</t>
        </is>
      </c>
      <c r="Q77" s="23" t="inlineStr">
        <is>
          <t>❌ Chưa có</t>
        </is>
      </c>
      <c r="R77" s="4" t="inlineStr">
        <is>
          <t>Metric local là no-op nên phải đo trên AWS</t>
        </is>
      </c>
      <c r="S77" s="4" t="inlineStr">
        <is>
          <t>docs-worker/3 §3.11</t>
        </is>
      </c>
    </row>
    <row r="78">
      <c r="A78" s="20" t="n">
        <v>75</v>
      </c>
      <c r="B78" s="20" t="inlineStr">
        <is>
          <t>A11.6</t>
        </is>
      </c>
      <c r="C78" s="20" t="inlineStr">
        <is>
          <t>TASK</t>
        </is>
      </c>
      <c r="D78" s="4" t="inlineStr">
        <is>
          <t>Alarm DLQ + SNS email (kiểm tra nhận thực tế)</t>
        </is>
      </c>
      <c r="E78" s="20" t="inlineStr"/>
      <c r="F78" s="4" t="inlineStr">
        <is>
          <t>Module queue xuất ARN/DLQ name để observability tạo alarm; thêm alarm tuổi message/CPU nếu đủ thời gian.</t>
        </is>
      </c>
      <c r="G78" s="4" t="inlineStr">
        <is>
          <t>Quan sát</t>
        </is>
      </c>
      <c r="H78" s="4" t="inlineStr">
        <is>
          <t>CloudWatch alarm; SNS topic; SQS DLQ</t>
        </is>
      </c>
      <c r="I78" s="20" t="inlineStr">
        <is>
          <t>G,D</t>
        </is>
      </c>
      <c r="J78" s="4" t="inlineStr">
        <is>
          <t>Là lớp phát hiện 'mất việc im lặng': message vào DLQ mà không ai biết thì pipeline coi như hỏng dù mọi thứ khác vẫn xanh.</t>
        </is>
      </c>
      <c r="K78" s="4" t="inlineStr">
        <is>
          <t>docs-cloud/3 §4, §9</t>
        </is>
      </c>
      <c r="L78" s="20" t="inlineStr">
        <is>
          <t>4</t>
        </is>
      </c>
      <c r="M78" s="18" t="inlineStr">
        <is>
          <t>High</t>
        </is>
      </c>
      <c r="N78" s="21" t="n"/>
      <c r="O78" s="4" t="inlineStr">
        <is>
          <t>Nguyên</t>
        </is>
      </c>
      <c r="P78" s="4" t="inlineStr">
        <is>
          <t>Lưu</t>
        </is>
      </c>
      <c r="Q78" s="23" t="inlineStr">
        <is>
          <t>❌ Chưa có</t>
        </is>
      </c>
      <c r="R78" s="4" t="inlineStr"/>
      <c r="S78" s="4" t="inlineStr">
        <is>
          <t>docs-cloud/4 §8.2</t>
        </is>
      </c>
    </row>
    <row r="79">
      <c r="A79" s="20" t="n">
        <v>76</v>
      </c>
      <c r="B79" s="20" t="inlineStr">
        <is>
          <t>A11.7</t>
        </is>
      </c>
      <c r="C79" s="20" t="inlineStr">
        <is>
          <t>TASK</t>
        </is>
      </c>
      <c r="D79" s="4" t="inlineStr">
        <is>
          <t>AWS Budgets cảnh báo 25/50 USD</t>
        </is>
      </c>
      <c r="E79" s="20" t="inlineStr"/>
      <c r="F79" s="4" t="inlineStr">
        <is>
          <t>Theo dõi EC2/Spot, EBS, public IPv4, S3, CloudWatch, ECR, CDN theo số dùng thực; xác nhận người nhận.</t>
        </is>
      </c>
      <c r="G79" s="4" t="inlineStr">
        <is>
          <t>Vận hành / Chi phí</t>
        </is>
      </c>
      <c r="H79" s="4" t="inlineStr">
        <is>
          <t>AWS Budgets; Cost Explorer</t>
        </is>
      </c>
      <c r="I79" s="20" t="inlineStr">
        <is>
          <t>G</t>
        </is>
      </c>
      <c r="J79" s="4" t="inlineStr">
        <is>
          <t>Ngưỡng cảnh báo theo kế hoạch nhóm, không phải cơ chế tự chặn chi tiêu - cần nói đúng như vậy trong báo cáo.</t>
        </is>
      </c>
      <c r="K79" s="4" t="inlineStr">
        <is>
          <t>docs-cloud/3 §9</t>
        </is>
      </c>
      <c r="L79" s="20" t="inlineStr">
        <is>
          <t>4</t>
        </is>
      </c>
      <c r="M79" s="18" t="inlineStr">
        <is>
          <t>High</t>
        </is>
      </c>
      <c r="N79" s="21" t="n"/>
      <c r="O79" s="4" t="inlineStr">
        <is>
          <t>Nguyên</t>
        </is>
      </c>
      <c r="P79" s="4" t="inlineStr"/>
      <c r="Q79" s="23" t="inlineStr">
        <is>
          <t>❌ Chưa có</t>
        </is>
      </c>
      <c r="R79" s="4" t="inlineStr">
        <is>
          <t>Giảm min worker về 0 không tắt toàn bộ chi phí môi trường</t>
        </is>
      </c>
      <c r="S79" s="4" t="inlineStr">
        <is>
          <t>docs-cloud/3 §9; docs-cloud/4 §10</t>
        </is>
      </c>
    </row>
    <row r="80">
      <c r="A80" s="20" t="n">
        <v>77</v>
      </c>
      <c r="B80" s="20" t="inlineStr">
        <is>
          <t>A11.8</t>
        </is>
      </c>
      <c r="C80" s="20" t="inlineStr">
        <is>
          <t>TASK</t>
        </is>
      </c>
      <c r="D80" s="4" t="inlineStr">
        <is>
          <t>metricpub phát BacklogPerInstance chạy ngoài ASG</t>
        </is>
      </c>
      <c r="E80" s="20" t="inlineStr"/>
      <c r="F80" s="4" t="inlineStr">
        <is>
          <t>Công thức backlog / max(1, InService workers); phát định kỳ kể cả khi không có worker; cấp quyền PutMetricData riêng.</t>
        </is>
      </c>
      <c r="G80" s="4" t="inlineStr">
        <is>
          <t>Quan sát + Xử lý</t>
        </is>
      </c>
      <c r="H80" s="4" t="inlineStr">
        <is>
          <t>metricpub trên EC2 API; CloudWatch custom metric; IAM</t>
        </is>
      </c>
      <c r="I80" s="20" t="inlineStr">
        <is>
          <t>G,E</t>
        </is>
      </c>
      <c r="J80" s="4" t="inlineStr">
        <is>
          <t>Lựa chọn kiến trúc phụ thuộc chế độ ASG: min 0 thì bắt buộc có metricpub (và API/metricpub tắt thì đường đánh thức không còn hoạt động); min ≥ 1 thì dùng metric math và bỏ thành phần này.</t>
        </is>
      </c>
      <c r="K80" s="4" t="inlineStr">
        <is>
          <t>introduction/1 §8.4; docs-cloud/3 §8</t>
        </is>
      </c>
      <c r="L80" s="20" t="inlineStr">
        <is>
          <t>4</t>
        </is>
      </c>
      <c r="M80" s="18" t="inlineStr">
        <is>
          <t>High</t>
        </is>
      </c>
      <c r="N80" s="21" t="n"/>
      <c r="O80" s="4" t="inlineStr">
        <is>
          <t>Nguyên</t>
        </is>
      </c>
      <c r="P80" s="4" t="inlineStr">
        <is>
          <t>Vũ</t>
        </is>
      </c>
      <c r="Q80" s="23" t="inlineStr">
        <is>
          <t>❌ Chưa có</t>
        </is>
      </c>
      <c r="R80" s="4" t="inlineStr">
        <is>
          <t>Quyết định theo chế độ min 0 / min ≥ 1 - ghi trong ADR/tuần 9</t>
        </is>
      </c>
      <c r="S80" s="4" t="inlineStr">
        <is>
          <t>introduction/1 §8.4; docs-cloud/3 §8</t>
        </is>
      </c>
    </row>
    <row r="81">
      <c r="A81" s="20" t="n">
        <v>78</v>
      </c>
      <c r="B81" s="20" t="inlineStr">
        <is>
          <t>A11.9</t>
        </is>
      </c>
      <c r="C81" s="20" t="inlineStr">
        <is>
          <t>TASK</t>
        </is>
      </c>
      <c r="D81" s="4" t="inlineStr">
        <is>
          <t>Scaling policy target tracking + scale-in protection</t>
        </is>
      </c>
      <c r="E81" s="20" t="inlineStr"/>
      <c r="F81" s="4" t="inlineStr">
        <is>
          <t>Chọn target từ thời gian chờ chấp nhận được và thời gian xử lý trung bình đo được; chu kỳ metric/warmup/cooldown sau khi đo boot+pull image; ScaleInProtectedInstances=Wait.</t>
        </is>
      </c>
      <c r="G81" s="4" t="inlineStr">
        <is>
          <t>Hạ tầng / Co giãn</t>
        </is>
      </c>
      <c r="H81" s="4" t="inlineStr">
        <is>
          <t>Auto Scaling policy; instance protection; Instance Refresh</t>
        </is>
      </c>
      <c r="I81" s="20" t="inlineStr">
        <is>
          <t>G,E</t>
        </is>
      </c>
      <c r="J81" s="4" t="inlineStr">
        <is>
          <t>Bảo vệ instance đang giữ job là điều kiện để Instance Refresh và scale-in không giết transcode giữa chừng - nhưng không ngăn được Spot thu hồi hay máy lỗi.</t>
        </is>
      </c>
      <c r="K81" s="4" t="inlineStr">
        <is>
          <t>docs-cloud/3 §8</t>
        </is>
      </c>
      <c r="L81" s="20" t="inlineStr">
        <is>
          <t>4</t>
        </is>
      </c>
      <c r="M81" s="18" t="inlineStr">
        <is>
          <t>High</t>
        </is>
      </c>
      <c r="N81" s="21" t="n"/>
      <c r="O81" s="4" t="inlineStr">
        <is>
          <t>Nguyên</t>
        </is>
      </c>
      <c r="P81" s="4" t="inlineStr">
        <is>
          <t>Vũ</t>
        </is>
      </c>
      <c r="Q81" s="23" t="inlineStr">
        <is>
          <t>❌ Chưa có</t>
        </is>
      </c>
      <c r="R81" s="4" t="inlineStr">
        <is>
          <t>Không thêm cấu hình FFmpeg mới giữa các lượt đo</t>
        </is>
      </c>
      <c r="S81" s="4" t="inlineStr">
        <is>
          <t>docs-cloud/3 §8; docs-worker/4 §4</t>
        </is>
      </c>
    </row>
    <row r="82">
      <c r="A82" s="16" t="n">
        <v>79</v>
      </c>
      <c r="B82" s="16" t="inlineStr">
        <is>
          <t>A12</t>
        </is>
      </c>
      <c r="C82" s="16" t="inlineStr">
        <is>
          <t>EPIC</t>
        </is>
      </c>
      <c r="D82" s="17" t="inlineStr">
        <is>
          <t>Hỗ trợ kiểm thử E2E (worker, giao diện)</t>
        </is>
      </c>
      <c r="E82" s="16" t="inlineStr">
        <is>
          <t>[1], [7], [10]</t>
        </is>
      </c>
      <c r="F82" s="17" t="inlineStr">
        <is>
          <t>Sửa lỗi worker/UI phát sinh từ kịch bản e2e của Lưu; đối chiếu mock ↔ backend thật cho UI (presigned PUT thật, CORS, polling trạng thái, link /media/*). Xong khi: UI và worker không còn lỗi which-block e2e.</t>
        </is>
      </c>
      <c r="G82" s="17" t="inlineStr">
        <is>
          <t>Xử lý + Trình bày</t>
        </is>
      </c>
      <c r="H82" s="17" t="inlineStr">
        <is>
          <t>worker/ (Go), frontend/ (React), /media/* qua CloudFront</t>
        </is>
      </c>
      <c r="I82" s="16" t="inlineStr">
        <is>
          <t>E,F (phía tích hợp)</t>
        </is>
      </c>
      <c r="J82" s="17" t="inlineStr">
        <is>
          <t>Hai chỗ dễ lệch nhất khi hợp nhất là [7] worker (thời gian thực, segment, Content-Type) và [10] /media/* (Cache-Control, rewrite bỏ prefix). Phần này là chi phí tích hợp thật của mock-first, không phải tính năng mới — để riêng 0,5 pd để không đổ vào A04/A05 đã đóng.</t>
        </is>
      </c>
      <c r="K82" s="17" t="inlineStr">
        <is>
          <t>docs-frontend/work/Week1.md (kế hoạch hợp nhất); docs-common/3</t>
        </is>
      </c>
      <c r="L82" s="16" t="inlineStr">
        <is>
          <t>4</t>
        </is>
      </c>
      <c r="M82" s="25" t="inlineStr">
        <is>
          <t>Medium</t>
        </is>
      </c>
      <c r="N82" s="19" t="n">
        <v>0.5</v>
      </c>
      <c r="O82" s="17" t="inlineStr">
        <is>
          <t>Vũ</t>
        </is>
      </c>
      <c r="P82" s="17" t="inlineStr">
        <is>
          <t>Lưu, Phương</t>
        </is>
      </c>
      <c r="Q82" s="17" t="inlineStr">
        <is>
          <t>❌ Chưa bắt đầu (phụ thuộc A05 xong phần UI và A10 có kịch bản)</t>
        </is>
      </c>
      <c r="R82" s="17" t="inlineStr">
        <is>
          <t>Nếu A05 hợp nhất trơn thì có thể gộp vào A10; ngược lại 0,5 pd là quá ít — theo dõi sát</t>
        </is>
      </c>
      <c r="S82" s="17" t="inlineStr">
        <is>
          <t>Progress 2 §3.2 dòng A12</t>
        </is>
      </c>
    </row>
    <row r="83">
      <c r="A83" s="16" t="n">
        <v>80</v>
      </c>
      <c r="B83" s="16" t="inlineStr">
        <is>
          <t>A13</t>
        </is>
      </c>
      <c r="C83" s="16" t="inlineStr">
        <is>
          <t>EPIC</t>
        </is>
      </c>
      <c r="D83" s="17" t="inlineStr">
        <is>
          <t>Báo cáo và demo</t>
        </is>
      </c>
      <c r="E83" s="16" t="inlineStr">
        <is>
          <t>Toàn bộ kiến trúc</t>
        </is>
      </c>
      <c r="F83" s="17" t="inlineStr">
        <is>
          <t>Báo cáo đủ ba phần (kiến trúc tính năng, kiến trúc triển khai AWS, kế hoạch + kết quả thực nghiệm); dựng môi trường demo riêng có pre-warm và destroy; hai lần diễn tập demo; đóng băng phiên bản; rà hồ sơ và nộp tuần 10, lưu xác nhận. Xong khi: demo chạy 2 lần liên tiếp không sửa code.</t>
        </is>
      </c>
      <c r="G83" s="17" t="inlineStr">
        <is>
          <t>Ngang hệ thống</t>
        </is>
      </c>
      <c r="H83" s="17" t="inlineStr">
        <is>
          <t>docs/report/; envs/demo (Terraform); môi trường biểu diễn</t>
        </is>
      </c>
      <c r="I83" s="16" t="inlineStr">
        <is>
          <t>A–H (bằng chứng)</t>
        </is>
      </c>
      <c r="J83" s="17" t="inlineStr">
        <is>
          <t>Đầu ra của mọi tầng: phần kiến trúc lấy từ [1]–[15], phần số liệu lấy từ [13]/[14]. Vì báo cáo là nơi hai lớp SaaS/PaaS và cloud gặp nhau, viết rải theo sprint (mỗi sprint một mục) rẻ hơn nhiều so với dồn tuần cuối.</t>
        </is>
      </c>
      <c r="K83" s="17" t="inlineStr">
        <is>
          <t>docs/report/Progress 2.md; hướng dẫn nộp bài; docs-common/1,2</t>
        </is>
      </c>
      <c r="L83" s="16" t="inlineStr">
        <is>
          <t>1–4 + dự phòng</t>
        </is>
      </c>
      <c r="M83" s="25" t="inlineStr">
        <is>
          <t>Medium</t>
        </is>
      </c>
      <c r="N83" s="19" t="n">
        <v>4</v>
      </c>
      <c r="O83" s="17" t="inlineStr">
        <is>
          <t>Cả nhóm</t>
        </is>
      </c>
      <c r="P83" s="17" t="inlineStr">
        <is>
          <t>Nguyên (env demo)</t>
        </is>
      </c>
      <c r="Q83" s="17" t="inlineStr">
        <is>
          <t>⭕ Mục 1 và 3 của Progress 2 đã viết; ❌ mục kết quả triển khai + thực nghiệm chưa có số liệu; env demo chưa có</t>
        </is>
      </c>
      <c r="R83" s="17" t="inlineStr">
        <is>
          <t>Không xếp tính năng mới vào sprint 4; tuần dự phòng chỉ sửa lỗi chặn nộp/demo</t>
        </is>
      </c>
      <c r="S83" s="17" t="inlineStr">
        <is>
          <t>Progress 2 §3.2 dòng A13, §3.3; introduction/1 §7</t>
        </is>
      </c>
    </row>
    <row r="84">
      <c r="A84" s="20" t="n">
        <v>81</v>
      </c>
      <c r="B84" s="20" t="inlineStr">
        <is>
          <t>A13.1</t>
        </is>
      </c>
      <c r="C84" s="20" t="inlineStr">
        <is>
          <t>TASK</t>
        </is>
      </c>
      <c r="D84" s="4" t="inlineStr">
        <is>
          <t>Viết báo cáo phần kiến trúc + triển khai + kết quả</t>
        </is>
      </c>
      <c r="E84" s="20" t="inlineStr"/>
      <c r="F84" s="4" t="inlineStr">
        <is>
          <t>Nền tảng/thiết kế tuần 7, triển khai và phương pháp đo tuần 8, kết quả/scaling/recovery và kết luận tuần 9.</t>
        </is>
      </c>
      <c r="G84" s="4" t="inlineStr">
        <is>
          <t>Ngang hệ thống</t>
        </is>
      </c>
      <c r="H84" s="4" t="inlineStr">
        <is>
          <t>docs/report/; diagrams/</t>
        </is>
      </c>
      <c r="I84" s="20" t="inlineStr">
        <is>
          <t>G,H</t>
        </is>
      </c>
      <c r="J84" s="4" t="inlineStr">
        <is>
          <t>Báo cáo là nơi ba lớp kiến trúc (SaaS / Developer API / Cloud core) được trình bày lại; phải cập nhật ADR khi quyết định thật thay đổi (Tunnel, Spot, min 0).</t>
        </is>
      </c>
      <c r="K84" s="4" t="inlineStr">
        <is>
          <t>Progress 2.md; docs-common/5</t>
        </is>
      </c>
      <c r="L84" s="20" t="inlineStr">
        <is>
          <t>1–4 + dự phòng</t>
        </is>
      </c>
      <c r="M84" s="18" t="inlineStr">
        <is>
          <t>High</t>
        </is>
      </c>
      <c r="N84" s="21" t="n"/>
      <c r="O84" s="4" t="inlineStr">
        <is>
          <t>Cả nhóm</t>
        </is>
      </c>
      <c r="P84" s="4" t="inlineStr"/>
      <c r="Q84" s="22" t="inlineStr">
        <is>
          <t>⭕ Một phần</t>
        </is>
      </c>
      <c r="R84" s="4" t="inlineStr"/>
      <c r="S84" s="4" t="inlineStr">
        <is>
          <t>docs-cloud/2 §3 cuối mục 3</t>
        </is>
      </c>
    </row>
    <row r="85">
      <c r="A85" s="20" t="n">
        <v>82</v>
      </c>
      <c r="B85" s="20" t="inlineStr">
        <is>
          <t>A13.2</t>
        </is>
      </c>
      <c r="C85" s="20" t="inlineStr">
        <is>
          <t>TASK</t>
        </is>
      </c>
      <c r="D85" s="4" t="inlineStr">
        <is>
          <t>Dựng môi trường demo riêng, pre-warm, destroy sau demo</t>
        </is>
      </c>
      <c r="E85" s="20" t="inlineStr"/>
      <c r="F85" s="4" t="inlineStr">
        <is>
          <t>envs/demo state riêng; kiểm tra account/quota/biến không trỏ nhầm dev; pre-warm ít nhất một worker; thu dọn sau khi không còn cần.</t>
        </is>
      </c>
      <c r="G85" s="4" t="inlineStr">
        <is>
          <t>Hạ tầng</t>
        </is>
      </c>
      <c r="H85" s="4" t="inlineStr">
        <is>
          <t>Terraform envs/demo; ASG min 1 cho demo; CloudFront + Tunnel</t>
        </is>
      </c>
      <c r="I85" s="20" t="inlineStr">
        <is>
          <t>G</t>
        </is>
      </c>
      <c r="J85" s="4" t="inlineStr">
        <is>
          <t>Tách demo khỏi dev là cách giữ cho buổi diễn tập không bị cold start 2-4 phút và không bị trạng thái dữ liệu của nhau làm hỏng kết quả.</t>
        </is>
      </c>
      <c r="K85" s="4" t="inlineStr">
        <is>
          <t>docs-cloud/3 §4; docs-cloud/4 §10</t>
        </is>
      </c>
      <c r="L85" s="20" t="inlineStr">
        <is>
          <t>1–4 + dự phòng</t>
        </is>
      </c>
      <c r="M85" s="18" t="inlineStr">
        <is>
          <t>High</t>
        </is>
      </c>
      <c r="N85" s="21" t="n"/>
      <c r="O85" s="4" t="inlineStr">
        <is>
          <t>Nguyên</t>
        </is>
      </c>
      <c r="P85" s="4" t="inlineStr">
        <is>
          <t>Lưu</t>
        </is>
      </c>
      <c r="Q85" s="23" t="inlineStr">
        <is>
          <t>❌ Chưa có Terraform</t>
        </is>
      </c>
      <c r="R85" s="4" t="inlineStr"/>
      <c r="S85" s="4" t="inlineStr">
        <is>
          <t>docs-cloud/4 §10</t>
        </is>
      </c>
    </row>
    <row r="86">
      <c r="A86" s="20" t="n">
        <v>83</v>
      </c>
      <c r="B86" s="20" t="inlineStr">
        <is>
          <t>A13.3</t>
        </is>
      </c>
      <c r="C86" s="20" t="inlineStr">
        <is>
          <t>TASK</t>
        </is>
      </c>
      <c r="D86" s="4" t="inlineStr">
        <is>
          <t>Hai lần diễn tập demo + đóng băng phiên bản</t>
        </is>
      </c>
      <c r="E86" s="20" t="inlineStr"/>
      <c r="F86" s="4" t="inlineStr">
        <is>
          <t>Chuỗi upload → xử lý → phát HLS → minh họa scaling/recovery bằng bằng chứng; gắn tag commit + image digest, lưu bản rollback.</t>
        </is>
      </c>
      <c r="G86" s="4" t="inlineStr">
        <is>
          <t>Ngang hệ thống</t>
        </is>
      </c>
      <c r="H86" s="4" t="inlineStr">
        <is>
          <t>API + worker + CloudFront + dashboard</t>
        </is>
      </c>
      <c r="I86" s="20" t="inlineStr">
        <is>
          <t>G,H</t>
        </is>
      </c>
      <c r="J86" s="4" t="inlineStr">
        <is>
          <t>Demo chính là phép tích phân của mọi tầng: nếu M4 chưa đóng băng thì còn đổi code và mọi số liệu benchmark đã đo mất hiệu lực.</t>
        </is>
      </c>
      <c r="K86" s="4" t="inlineStr">
        <is>
          <t>docs-cloud/4 §10</t>
        </is>
      </c>
      <c r="L86" s="20" t="inlineStr">
        <is>
          <t>1–4 + dự phòng</t>
        </is>
      </c>
      <c r="M86" s="18" t="inlineStr">
        <is>
          <t>High</t>
        </is>
      </c>
      <c r="N86" s="21" t="n"/>
      <c r="O86" s="4" t="inlineStr">
        <is>
          <t>Cả nhóm</t>
        </is>
      </c>
      <c r="P86" s="4" t="inlineStr">
        <is>
          <t>Nguyên</t>
        </is>
      </c>
      <c r="Q86" s="23" t="inlineStr">
        <is>
          <t>❌ Chưa</t>
        </is>
      </c>
      <c r="R86" s="4" t="inlineStr">
        <is>
          <t>Không đẩy thực nghiệm sang tuần nộp</t>
        </is>
      </c>
      <c r="S86" s="4" t="inlineStr">
        <is>
          <t>introduction/1 §6 M4</t>
        </is>
      </c>
    </row>
    <row r="87">
      <c r="A87" s="20" t="n">
        <v>84</v>
      </c>
      <c r="B87" s="20" t="inlineStr">
        <is>
          <t>A13.4</t>
        </is>
      </c>
      <c r="C87" s="20" t="inlineStr">
        <is>
          <t>TASK</t>
        </is>
      </c>
      <c r="D87" s="4" t="inlineStr">
        <is>
          <t>Rà hồ sơ và nộp tuần 10, lưu xác nhận</t>
        </is>
      </c>
      <c r="E87" s="20" t="inlineStr"/>
      <c r="F87" s="4" t="inlineStr">
        <is>
          <t>Đối chiếu yêu cầu nộp (báo cáo, source, hướng dẫn chạy, artifact); kiểm tra tệp mở được, liên kết truy cập được, source khớp báo cáo, không chứa secret; nộp đúng ngày/giờ và lưu xác nhận.</t>
        </is>
      </c>
      <c r="G87" s="4" t="inlineStr">
        <is>
          <t>Ngang hệ thống</t>
        </is>
      </c>
      <c r="H87" s="4" t="inlineStr">
        <is>
          <t>Bộ hồ sơ nộp + commit/tag tương ứng</t>
        </is>
      </c>
      <c r="I87" s="20" t="inlineStr">
        <is>
          <t>G</t>
        </is>
      </c>
      <c r="J87" s="4" t="inlineStr">
        <is>
          <t>Chỉ sửa lỗi chặn nộp/demo; không mở tính năng mới, không đổi kiến trúc, không bắt đầu C6.</t>
        </is>
      </c>
      <c r="K87" s="4" t="inlineStr">
        <is>
          <t>docs-cloud/2 §3 Tuần 10</t>
        </is>
      </c>
      <c r="L87" s="20" t="inlineStr">
        <is>
          <t>1–4 + dự phòng</t>
        </is>
      </c>
      <c r="M87" s="18" t="inlineStr">
        <is>
          <t>High</t>
        </is>
      </c>
      <c r="N87" s="21" t="n"/>
      <c r="O87" s="4" t="inlineStr">
        <is>
          <t>Cả nhóm</t>
        </is>
      </c>
      <c r="P87" s="4" t="inlineStr"/>
      <c r="Q87" s="23" t="inlineStr">
        <is>
          <t>⚪ Chưa đến hạn</t>
        </is>
      </c>
      <c r="R87" s="4" t="inlineStr"/>
      <c r="S87" s="4" t="inlineStr">
        <is>
          <t>docs-cloud/2 §3; introduction/1 §6 M5</t>
        </is>
      </c>
    </row>
    <row r="89">
      <c r="A89" s="27" t="inlineStr">
        <is>
          <t>NGOÀI KẾ HOẠCH A01–A13 — P1 / TÙY CHỌN (không cộng vào tổng effort)</t>
        </is>
      </c>
    </row>
    <row r="90">
      <c r="A90" s="16" t="n">
        <v>85</v>
      </c>
      <c r="B90" s="16" t="inlineStr">
        <is>
          <t>P1-1</t>
        </is>
      </c>
      <c r="C90" s="16" t="inlineStr">
        <is>
          <t>P1</t>
        </is>
      </c>
      <c r="D90" s="17" t="inlineStr">
        <is>
          <t>Webhook cho Developer API (epic A7 cũ)</t>
        </is>
      </c>
      <c r="E90" s="16" t="inlineStr">
        <is>
          <t>[2], [3], [6]</t>
        </is>
      </c>
      <c r="F90" s="17" t="inlineStr">
        <is>
          <t>Callback khi COMPLETED/FAILED thay cho polling; cần retry + signing.</t>
        </is>
      </c>
      <c r="G90" s="17" t="inlineStr">
        <is>
          <t>Ứng dụng / API</t>
        </is>
      </c>
      <c r="H90" s="17" t="inlineStr">
        <is>
          <t>Spring Boot module F; hàng đợi callback</t>
        </is>
      </c>
      <c r="I90" s="16" t="inlineStr">
        <is>
          <t>F</t>
        </is>
      </c>
      <c r="J90" s="17" t="inlineStr">
        <is>
          <t>Thêm một đường ra phía ngoài cho [2]/[3]; hữu ích cho lớp PaaS nhưng không nằm trên đường demo cốt lõi.</t>
        </is>
      </c>
      <c r="K90" s="17" t="inlineStr">
        <is>
          <t>openapi.yaml (chưa định nghĩa webhook)</t>
        </is>
      </c>
      <c r="L90" s="16" t="inlineStr">
        <is>
          <t>—</t>
        </is>
      </c>
      <c r="M90" s="26" t="inlineStr">
        <is>
          <t>Low</t>
        </is>
      </c>
      <c r="N90" s="19" t="n">
        <v>1.5</v>
      </c>
      <c r="O90" s="17" t="inlineStr">
        <is>
          <t>Phương</t>
        </is>
      </c>
      <c r="P90" s="17" t="inlineStr"/>
      <c r="Q90" s="17" t="inlineStr">
        <is>
          <t>❌ Chưa làm — đã đánh dấu ngoài cam kết nộp</t>
        </is>
      </c>
      <c r="R90" s="17" t="inlineStr">
        <is>
          <t>Chỉ làm khi A02–A13 đã an toàn</t>
        </is>
      </c>
      <c r="S90" s="17" t="inlineStr">
        <is>
          <t>Progress 2 §3.2 ghi chú P1; introduction/1 §4.A7</t>
        </is>
      </c>
    </row>
    <row r="91">
      <c r="A91" s="16" t="n">
        <v>86</v>
      </c>
      <c r="B91" s="16" t="inlineStr">
        <is>
          <t>P1-2</t>
        </is>
      </c>
      <c r="C91" s="16" t="inlineStr">
        <is>
          <t>P1</t>
        </is>
      </c>
      <c r="D91" s="17" t="inlineStr">
        <is>
          <t>CI/CD hoàn chỉnh + Terraform phần còn lại (epic C6 cũ)</t>
        </is>
      </c>
      <c r="E91" s="16" t="inlineStr">
        <is>
          <t>[11], [12]</t>
        </is>
      </c>
      <c r="F91" s="17" t="inlineStr">
        <is>
          <t>GitHub Actions + OIDC, Terraform cho iam/compute/edge/observability, promote dev → demo.</t>
        </is>
      </c>
      <c r="G91" s="17" t="inlineStr">
        <is>
          <t>Nền dev/vận hành</t>
        </is>
      </c>
      <c r="H91" s="17" t="inlineStr">
        <is>
          <t>.github/workflows/, infra/terraform modules còn lại</t>
        </is>
      </c>
      <c r="I91" s="16" t="inlineStr">
        <is>
          <t>G</t>
        </is>
      </c>
      <c r="J91" s="17" t="inlineStr">
        <is>
          <t>Đường tự động hóa [11]; khi chưa có thì deploy tay theo runbook vẫn đủ cho demo và thực nghiệm.</t>
        </is>
      </c>
      <c r="K91" s="17" t="inlineStr">
        <is>
          <t>docs-cloud/4 §C6; LOCAL_AND_CICD</t>
        </is>
      </c>
      <c r="L91" s="16" t="inlineStr">
        <is>
          <t>—</t>
        </is>
      </c>
      <c r="M91" s="26" t="inlineStr">
        <is>
          <t>Low</t>
        </is>
      </c>
      <c r="N91" s="19" t="n">
        <v>1.5</v>
      </c>
      <c r="O91" s="17" t="inlineStr">
        <is>
          <t>Nguyên</t>
        </is>
      </c>
      <c r="P91" s="17" t="inlineStr">
        <is>
          <t>Lưu</t>
        </is>
      </c>
      <c r="Q91" s="17" t="inlineStr">
        <is>
          <t>❌ Workflow CI/CD cơ bản có, phần deploy/env còn trống</t>
        </is>
      </c>
      <c r="R91" s="17" t="inlineStr">
        <is>
          <t>Cắt được, đổi lại deploy tay — chấp nhận được cho quy mô 4 người</t>
        </is>
      </c>
      <c r="S91" s="17" t="inlineStr">
        <is>
          <t>Progress 2 §3.2 ghi chú P1; introduction/1 §4.C6</t>
        </is>
      </c>
    </row>
    <row r="92">
      <c r="A92" s="20" t="n">
        <v>87</v>
      </c>
      <c r="B92" s="20" t="inlineStr">
        <is>
          <t>P1-2.1</t>
        </is>
      </c>
      <c r="C92" s="20" t="inlineStr">
        <is>
          <t>TASK</t>
        </is>
      </c>
      <c r="D92" s="4" t="inlineStr">
        <is>
          <t>OIDC trust + GitHub Environments mapping dev/demo</t>
        </is>
      </c>
      <c r="E92" s="20" t="inlineStr"/>
      <c r="F92" s="4" t="inlineStr">
        <is>
          <t>Giới hạn đúng repository/ref; khai báo AWS_DEPLOY_ROLE_ARN, ECR_REGISTRY, FRONTEND_BUCKET, CLOUDFRONT_DISTRIBUTION_ID theo scope; gắn job với GitHub Environment.</t>
        </is>
      </c>
      <c r="G92" s="4" t="inlineStr">
        <is>
          <t>Vận hành</t>
        </is>
      </c>
      <c r="H92" s="4" t="inlineStr">
        <is>
          <t>GitHub Actions OIDC; IAM; Environments</t>
        </is>
      </c>
      <c r="I92" s="20" t="inlineStr">
        <is>
          <t>G</t>
        </is>
      </c>
      <c r="J92" s="4" t="inlineStr">
        <is>
          <t>Hiện input env của workflow không tự đổi các biến theo môi trường - nghĩa là một workflow dùng chung hai env là rủi ro trỏ nhầm dev/demo.</t>
        </is>
      </c>
      <c r="K92" s="4" t="inlineStr">
        <is>
          <t>docs-cloud/4 §8.3</t>
        </is>
      </c>
      <c r="L92" s="20" t="inlineStr">
        <is>
          <t>—</t>
        </is>
      </c>
      <c r="M92" s="26" t="inlineStr">
        <is>
          <t>Low</t>
        </is>
      </c>
      <c r="N92" s="21" t="n"/>
      <c r="O92" s="4" t="inlineStr">
        <is>
          <t>Nguyên</t>
        </is>
      </c>
      <c r="P92" s="4" t="inlineStr"/>
      <c r="Q92" s="23" t="inlineStr">
        <is>
          <t>❌ Chưa có</t>
        </is>
      </c>
      <c r="R92" s="4" t="inlineStr"/>
      <c r="S92" s="4" t="inlineStr">
        <is>
          <t>docs-cloud/4 §8.3</t>
        </is>
      </c>
    </row>
    <row r="93">
      <c r="A93" s="20" t="n">
        <v>88</v>
      </c>
      <c r="B93" s="20" t="inlineStr">
        <is>
          <t>P1-2.2</t>
        </is>
      </c>
      <c r="C93" s="20" t="inlineStr">
        <is>
          <t>TASK</t>
        </is>
      </c>
      <c r="D93" s="4" t="inlineStr">
        <is>
          <t>Terraform cho iam/compute/edge/observability + import tài nguyên tạo tay</t>
        </is>
      </c>
      <c r="E93" s="20" t="inlineStr"/>
      <c r="F93" s="4" t="inlineStr">
        <is>
          <t>Không tạo bản Terraform trùng tài nguyên đang có; import khi chuyển quản lý.</t>
        </is>
      </c>
      <c r="G93" s="4" t="inlineStr">
        <is>
          <t>Vận hành (IaC)</t>
        </is>
      </c>
      <c r="H93" s="4" t="inlineStr">
        <is>
          <t>infra/terraform/modules/{iam,compute,edge,observability}</t>
        </is>
      </c>
      <c r="I93" s="20" t="inlineStr">
        <is>
          <t>G</t>
        </is>
      </c>
      <c r="J93" s="4" t="inlineStr">
        <is>
          <t>Là phần trả nợ cho việc làm tay để kịp M2/M3; kế hoạch import phải giữ song song để hạ tầng không phân thành hai nguồn sự thật.</t>
        </is>
      </c>
      <c r="K93" s="4" t="inlineStr">
        <is>
          <t>docs-cloud/4 §7, §10</t>
        </is>
      </c>
      <c r="L93" s="20" t="inlineStr">
        <is>
          <t>—</t>
        </is>
      </c>
      <c r="M93" s="26" t="inlineStr">
        <is>
          <t>Low</t>
        </is>
      </c>
      <c r="N93" s="21" t="n"/>
      <c r="O93" s="4" t="inlineStr">
        <is>
          <t>Nguyên</t>
        </is>
      </c>
      <c r="P93" s="4" t="inlineStr">
        <is>
          <t>Lưu</t>
        </is>
      </c>
      <c r="Q93" s="23" t="inlineStr">
        <is>
          <t>❌ Chưa có</t>
        </is>
      </c>
      <c r="R93" s="4" t="inlineStr"/>
      <c r="S93" s="4" t="inlineStr">
        <is>
          <t>docs-cloud/3 §4; docs-cloud/4 §7</t>
        </is>
      </c>
    </row>
    <row r="94">
      <c r="A94" s="16" t="n">
        <v>89</v>
      </c>
      <c r="B94" s="16" t="inlineStr">
        <is>
          <t>P1-3</t>
        </is>
      </c>
      <c r="C94" s="16" t="inlineStr">
        <is>
          <t>P1</t>
        </is>
      </c>
      <c r="D94" s="17" t="inlineStr">
        <is>
          <t>metricpub phát BacklogPerInstance (chỉ cần nếu ASG min = 0)</t>
        </is>
      </c>
      <c r="E94" s="16" t="inlineStr">
        <is>
          <t>[13], [14]</t>
        </is>
      </c>
      <c r="F94" s="17" t="inlineStr">
        <is>
          <t>Worker ngoài ASG định kỳ gửi metric backlog để target tracking scale từ 0 lên 1.</t>
        </is>
      </c>
      <c r="G94" s="17" t="inlineStr">
        <is>
          <t>Quan sát / Co giãn</t>
        </is>
      </c>
      <c r="H94" s="17" t="inlineStr">
        <is>
          <t>CloudWatch PutMetricData; worker metric publisher</t>
        </is>
      </c>
      <c r="I94" s="16" t="inlineStr">
        <is>
          <t>G,H</t>
        </is>
      </c>
      <c r="J94" s="17" t="inlineStr">
        <is>
          <t>Nối [13]/[14]: không có metric ngoài luồng thì ASG không scale-out từ 0. Chọn Min ≥ 1 + metric math là cách rẻ hơn.</t>
        </is>
      </c>
      <c r="K94" s="17" t="inlineStr">
        <is>
          <t>docs-cloud/3 §compute modes</t>
        </is>
      </c>
      <c r="L94" s="16" t="inlineStr">
        <is>
          <t>—</t>
        </is>
      </c>
      <c r="M94" s="25" t="inlineStr">
        <is>
          <t>Medium</t>
        </is>
      </c>
      <c r="N94" s="19" t="n">
        <v>0.5</v>
      </c>
      <c r="O94" s="17" t="inlineStr">
        <is>
          <t>Nguyên</t>
        </is>
      </c>
      <c r="P94" s="17" t="inlineStr">
        <is>
          <t>Vũ</t>
        </is>
      </c>
      <c r="Q94" s="17" t="inlineStr">
        <is>
          <t>❌ Chưa làm; quyết định Min = 0 hay ≥ 1 chưa chốt</t>
        </is>
      </c>
      <c r="R94" s="17" t="inlineStr">
        <is>
          <t>Lever cắt đầu tiên (0,5 pd) — đổi lại tốn ~1 máy/đêm</t>
        </is>
      </c>
      <c r="S94" s="17" t="inlineStr">
        <is>
          <t>Progress 2 §3.2 ghi chú, §3.3 lever 1</t>
        </is>
      </c>
    </row>
  </sheetData>
  <autoFilter ref="A3:S94"/>
  <mergeCells count="3">
    <mergeCell ref="A89:S89"/>
    <mergeCell ref="A2:S2"/>
    <mergeCell ref="A1:S1"/>
  </mergeCells>
  <conditionalFormatting sqref="N4:N94">
    <cfRule type="dataBar" priority="1">
      <dataBar showValue="1">
        <cfvo type="num" val="0"/>
        <cfvo type="num" val="5"/>
        <color rgb="004472C4"/>
      </dataBar>
    </cfRule>
  </conditionalFormatting>
  <conditionalFormatting sqref="M4:M94">
    <cfRule type="expression" priority="2" dxfId="0">
      <formula>EXACT($M4,"High")</formula>
    </cfRule>
    <cfRule type="expression" priority="3" dxfId="1">
      <formula>EXACT($M4,"Medium")</formula>
    </cfRule>
    <cfRule type="expression" priority="4" dxfId="2">
      <formula>EXACT($M4,"Low")</formula>
    </cfRule>
  </conditionalFormatting>
  <conditionalFormatting sqref="Q4:Q94">
    <cfRule type="expression" priority="5" dxfId="0">
      <formula>LEFT($Q4,1)="✅"</formula>
    </cfRule>
    <cfRule type="expression" priority="6" dxfId="1">
      <formula>LEFT($Q4,1)="⭕"</formula>
    </cfRule>
    <cfRule type="expression" priority="7" dxfId="2">
      <formula>LEFT($Q4,1)="❌"</formula>
    </cfRule>
    <cfRule type="expression" priority="8" dxfId="2">
      <formula>LEFT($Q4,1)="⚪"</formula>
    </cfRule>
    <cfRule type="expression" priority="9" dxfId="3">
      <formula>LEFT($Q4,1)="⛔"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L48"/>
  <sheetViews>
    <sheetView showGridLines="0" workbookViewId="0">
      <pane xSplit="2" ySplit="21" topLeftCell="C2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0" customWidth="1" min="3" max="3"/>
    <col width="11" customWidth="1" min="4" max="4"/>
    <col width="10" customWidth="1" min="5" max="5"/>
    <col width="10" customWidth="1" min="6" max="6"/>
    <col width="10" customWidth="1" min="7" max="7"/>
    <col width="10" customWidth="1" min="8" max="8"/>
    <col width="11" customWidth="1" min="9" max="9"/>
    <col width="11" customWidth="1" min="10" max="10"/>
    <col width="11" customWidth="1" min="11" max="11"/>
    <col width="16" customWidth="1" min="12" max="12"/>
  </cols>
  <sheetData>
    <row r="1" ht="22" customHeight="1">
      <c r="A1" s="14" t="inlineStr">
        <is>
          <t>3.1 CƠ SỞ KẾ HOẠCH + PHÂN BỔ THEO SPRINT</t>
        </is>
      </c>
    </row>
    <row r="2" ht="30" customHeight="1">
      <c r="A2" s="2" t="inlineStr">
        <is>
          <t>4 thành viên · 4 sprint (mỗi sprint 1 tuần) · 1 tuần dự phòng; 1 pd = một người làm việc tập trung trong một ngày. Cột Effort và các dòng Đối chiếu là công thức nối thẳng sang sheet 'Hạng mục công việc' — sửa effort ở đó thì các số này tự đổi.</t>
        </is>
      </c>
    </row>
    <row r="4">
      <c r="A4" s="3" t="inlineStr">
        <is>
          <t>THÔNG SỐ KẾ HOẠCH</t>
        </is>
      </c>
    </row>
    <row r="5">
      <c r="A5" s="6" t="inlineStr">
        <is>
          <t>Số thành viên</t>
        </is>
      </c>
      <c r="C5" s="28" t="n">
        <v>4</v>
      </c>
      <c r="D5" s="2" t="inlineStr">
        <is>
          <t>Bảng vai trò 3.1</t>
        </is>
      </c>
    </row>
    <row r="6">
      <c r="A6" s="6" t="inlineStr">
        <is>
          <t>Số sprint</t>
        </is>
      </c>
      <c r="C6" s="28" t="n">
        <v>4</v>
      </c>
      <c r="D6" s="2" t="inlineStr">
        <is>
          <t>Mỗi sprint 1 tuần (tuần 7–10)</t>
        </is>
      </c>
    </row>
    <row r="7">
      <c r="A7" s="6" t="inlineStr">
        <is>
          <t>Tuần dự phòng</t>
        </is>
      </c>
      <c r="C7" s="28" t="n">
        <v>1</v>
      </c>
      <c r="D7" s="2" t="inlineStr">
        <is>
          <t>Hoàn thiện báo cáo, sửa lỗi, chuẩn bị demo</t>
        </is>
      </c>
    </row>
    <row r="8">
      <c r="A8" s="6" t="inlineStr">
        <is>
          <t>Days/người/tuần (dải)</t>
        </is>
      </c>
      <c r="C8" s="20" t="inlineStr">
        <is>
          <t>2–3 ngày</t>
        </is>
      </c>
      <c r="D8" s="2" t="inlineStr">
        <is>
          <t>Cam kết của từng thành viên</t>
        </is>
      </c>
    </row>
    <row r="9">
      <c r="A9" s="6" t="inlineStr">
        <is>
          <t>Capacity ước tính (dải, pd)</t>
        </is>
      </c>
      <c r="C9" s="20" t="inlineStr">
        <is>
          <t>32–48</t>
        </is>
      </c>
      <c r="D9" s="2" t="inlineStr">
        <is>
          <t>4 người × 2–3 ngày × 4 tuần</t>
        </is>
      </c>
    </row>
    <row r="10">
      <c r="A10" s="6" t="inlineStr">
        <is>
          <t>Capacity sử dụng theo kế hoạch (pd)</t>
        </is>
      </c>
      <c r="C10" s="29" t="n">
        <v>40</v>
      </c>
      <c r="D10" s="2" t="inlineStr">
        <is>
          <t>4 × 2,5 ngày × 4 tuần</t>
        </is>
      </c>
    </row>
    <row r="12">
      <c r="A12" s="3" t="inlineStr">
        <is>
          <t>BẢNG VAI TỪNG THÀNH VIÊN (capacity planning)</t>
        </is>
      </c>
    </row>
    <row r="13" ht="30" customHeight="1">
      <c r="A13" s="15" t="inlineStr">
        <is>
          <t>Thành viên</t>
        </is>
      </c>
      <c r="B13" s="15" t="inlineStr">
        <is>
          <t>Viết tắt dùng trong bảng 3.2</t>
        </is>
      </c>
      <c r="C13" s="15" t="inlineStr">
        <is>
          <t>Vai trò</t>
        </is>
      </c>
      <c r="D13" s="15" t="inlineStr">
        <is>
          <t>Capacity (pd)</t>
        </is>
      </c>
      <c r="E13" s="15" t="inlineStr">
        <is>
          <t>Trách nhiệm</t>
        </is>
      </c>
      <c r="F13" s="30" t="n"/>
      <c r="G13" s="30" t="n"/>
      <c r="H13" s="30" t="n"/>
      <c r="I13" s="30" t="n"/>
      <c r="J13" s="30" t="n"/>
      <c r="K13" s="30" t="n"/>
      <c r="L13" s="31" t="n"/>
    </row>
    <row r="14">
      <c r="A14" s="6" t="inlineStr">
        <is>
          <t>Bùi Hải Phương</t>
        </is>
      </c>
      <c r="B14" s="20" t="inlineStr">
        <is>
          <t>Phương</t>
        </is>
      </c>
      <c r="C14" s="20" t="inlineStr">
        <is>
          <t>Frontend, Backend</t>
        </is>
      </c>
      <c r="D14" s="29" t="n">
        <v>10</v>
      </c>
      <c r="E14" s="4" t="inlineStr">
        <is>
          <t>Backend, Developer API, giao diện SaaS</t>
        </is>
      </c>
      <c r="F14" s="32" t="n"/>
      <c r="G14" s="32" t="n"/>
      <c r="H14" s="32" t="n"/>
      <c r="I14" s="32" t="n"/>
      <c r="J14" s="32" t="n"/>
      <c r="K14" s="32" t="n"/>
      <c r="L14" s="32" t="n"/>
    </row>
    <row r="15">
      <c r="A15" s="6" t="inlineStr">
        <is>
          <t>Đào Lê Long Vũ</t>
        </is>
      </c>
      <c r="B15" s="20" t="inlineStr">
        <is>
          <t>Vũ</t>
        </is>
      </c>
      <c r="C15" s="20" t="inlineStr">
        <is>
          <t>Frontend, Backend</t>
        </is>
      </c>
      <c r="D15" s="29" t="n">
        <v>10</v>
      </c>
      <c r="E15" s="4" t="inlineStr">
        <is>
          <t>Backend, Worker, giao diện SaaS</t>
        </is>
      </c>
      <c r="F15" s="32" t="n"/>
      <c r="G15" s="32" t="n"/>
      <c r="H15" s="32" t="n"/>
      <c r="I15" s="32" t="n"/>
      <c r="J15" s="32" t="n"/>
      <c r="K15" s="32" t="n"/>
      <c r="L15" s="32" t="n"/>
    </row>
    <row r="16">
      <c r="A16" s="6" t="inlineStr">
        <is>
          <t>Nguyễn Hữu Lưu</t>
        </is>
      </c>
      <c r="B16" s="20" t="inlineStr">
        <is>
          <t>Lưu</t>
        </is>
      </c>
      <c r="C16" s="20" t="inlineStr">
        <is>
          <t>DevOps</t>
        </is>
      </c>
      <c r="D16" s="29" t="n">
        <v>10</v>
      </c>
      <c r="E16" s="4" t="inlineStr">
        <is>
          <t>Thiết lập các dịch vụ cloud</t>
        </is>
      </c>
      <c r="F16" s="32" t="n"/>
      <c r="G16" s="32" t="n"/>
      <c r="H16" s="32" t="n"/>
      <c r="I16" s="32" t="n"/>
      <c r="J16" s="32" t="n"/>
      <c r="K16" s="32" t="n"/>
      <c r="L16" s="32" t="n"/>
    </row>
    <row r="17">
      <c r="A17" s="6" t="inlineStr">
        <is>
          <t>Hồ Văn Tiến Nguyên</t>
        </is>
      </c>
      <c r="B17" s="20" t="inlineStr">
        <is>
          <t>Nguyên</t>
        </is>
      </c>
      <c r="C17" s="20" t="inlineStr">
        <is>
          <t>DevOps</t>
        </is>
      </c>
      <c r="D17" s="29" t="n">
        <v>10</v>
      </c>
      <c r="E17" s="4" t="inlineStr">
        <is>
          <t>Thiết lập các dịch vụ cloud</t>
        </is>
      </c>
      <c r="F17" s="32" t="n"/>
      <c r="G17" s="32" t="n"/>
      <c r="H17" s="32" t="n"/>
      <c r="I17" s="32" t="n"/>
      <c r="J17" s="32" t="n"/>
      <c r="K17" s="32" t="n"/>
      <c r="L17" s="32" t="n"/>
    </row>
    <row r="18">
      <c r="A18" s="33" t="inlineStr">
        <is>
          <t>Tổng capacity nhóm</t>
        </is>
      </c>
      <c r="B18" s="34" t="n"/>
      <c r="C18" s="34" t="n"/>
      <c r="D18" s="35">
        <f>SUM(D14:D17)</f>
        <v/>
      </c>
      <c r="E18" s="36" t="inlineStr">
        <is>
          <t>40 pd là mức kế hoạch (2,5 ngày/tuần/người × 4 tuần × 4 người); dải thực tế 32–48 pd</t>
        </is>
      </c>
      <c r="F18" s="34" t="n"/>
      <c r="G18" s="34" t="n"/>
      <c r="H18" s="34" t="n"/>
      <c r="I18" s="34" t="n"/>
      <c r="J18" s="34" t="n"/>
      <c r="K18" s="34" t="n"/>
      <c r="L18" s="34" t="n"/>
    </row>
    <row r="20">
      <c r="A20" s="3" t="inlineStr">
        <is>
          <t>TẢI THEO SPRINT — phân bổ 36 pd của 13 hạng mục</t>
        </is>
      </c>
    </row>
    <row r="21" ht="34" customHeight="1">
      <c r="A21" s="15" t="inlineStr">
        <is>
          <t>Mã</t>
        </is>
      </c>
      <c r="B21" s="15" t="inlineStr">
        <is>
          <t>Hạng mục</t>
        </is>
      </c>
      <c r="C21" s="15" t="inlineStr">
        <is>
          <t>Ưu tiên</t>
        </is>
      </c>
      <c r="D21" s="15" t="inlineStr">
        <is>
          <t>Effort (pd)</t>
        </is>
      </c>
      <c r="E21" s="15" t="inlineStr">
        <is>
          <t>Sprint 1</t>
        </is>
      </c>
      <c r="F21" s="15" t="inlineStr">
        <is>
          <t>Sprint 2</t>
        </is>
      </c>
      <c r="G21" s="15" t="inlineStr">
        <is>
          <t>Sprint 3</t>
        </is>
      </c>
      <c r="H21" s="15" t="inlineStr">
        <is>
          <t>Sprint 4</t>
        </is>
      </c>
      <c r="I21" s="15" t="inlineStr">
        <is>
          <t>Dự phòng</t>
        </is>
      </c>
      <c r="J21" s="15" t="inlineStr">
        <is>
          <t>Σ phân bổ</t>
        </is>
      </c>
      <c r="K21" s="15" t="inlineStr">
        <is>
          <t>Đối chiếu</t>
        </is>
      </c>
      <c r="L21" s="15" t="inlineStr">
        <is>
          <t>Sprint ghi trong 3.2</t>
        </is>
      </c>
    </row>
    <row r="22">
      <c r="A22" s="37" t="inlineStr">
        <is>
          <t>A01</t>
        </is>
      </c>
      <c r="B22" s="4" t="inlineStr">
        <is>
          <t>Chốt kiến trúc và khung dự án</t>
        </is>
      </c>
      <c r="C22" s="20" t="inlineStr">
        <is>
          <t>High</t>
        </is>
      </c>
      <c r="D22" s="38">
        <f>SUMIFS('Hạng mục công việc'!$N$4:$N$94,'Hạng mục công việc'!$B$4:$B$94,"A01",'Hạng mục công việc'!$C$4:$C$94,"EPIC")</f>
        <v/>
      </c>
      <c r="E22" s="38" t="n">
        <v>2</v>
      </c>
      <c r="F22" s="38" t="n"/>
      <c r="G22" s="38" t="n"/>
      <c r="H22" s="38" t="n"/>
      <c r="I22" s="38" t="n"/>
      <c r="J22" s="39">
        <f>SUM(E22:I22)</f>
        <v/>
      </c>
      <c r="K22" s="40">
        <f>J22-D22</f>
        <v/>
      </c>
      <c r="L22" s="20" t="inlineStr">
        <is>
          <t>1</t>
        </is>
      </c>
    </row>
    <row r="23">
      <c r="A23" s="37" t="inlineStr">
        <is>
          <t>A02</t>
        </is>
      </c>
      <c r="B23" s="4" t="inlineStr">
        <is>
          <t>Backend Auth, Project, Video</t>
        </is>
      </c>
      <c r="C23" s="20" t="inlineStr">
        <is>
          <t>High</t>
        </is>
      </c>
      <c r="D23" s="38">
        <f>SUMIFS('Hạng mục công việc'!$N$4:$N$94,'Hạng mục công việc'!$B$4:$B$94,"A02",'Hạng mục công việc'!$C$4:$C$94,"EPIC")</f>
        <v/>
      </c>
      <c r="E23" s="38" t="n">
        <v>2.5</v>
      </c>
      <c r="F23" s="38" t="n">
        <v>2.5</v>
      </c>
      <c r="G23" s="38" t="n"/>
      <c r="H23" s="38" t="n"/>
      <c r="I23" s="38" t="n"/>
      <c r="J23" s="39">
        <f>SUM(E23:I23)</f>
        <v/>
      </c>
      <c r="K23" s="40">
        <f>J23-D23</f>
        <v/>
      </c>
      <c r="L23" s="20" t="inlineStr">
        <is>
          <t>1–2</t>
        </is>
      </c>
    </row>
    <row r="24">
      <c r="A24" s="37" t="inlineStr">
        <is>
          <t>A03</t>
        </is>
      </c>
      <c r="B24" s="4" t="inlineStr">
        <is>
          <t>Upload và điều phối job</t>
        </is>
      </c>
      <c r="C24" s="20" t="inlineStr">
        <is>
          <t>High</t>
        </is>
      </c>
      <c r="D24" s="38">
        <f>SUMIFS('Hạng mục công việc'!$N$4:$N$94,'Hạng mục công việc'!$B$4:$B$94,"A03",'Hạng mục công việc'!$C$4:$C$94,"EPIC")</f>
        <v/>
      </c>
      <c r="E24" s="38" t="n"/>
      <c r="F24" s="38" t="n">
        <v>1.25</v>
      </c>
      <c r="G24" s="38" t="n">
        <v>1.25</v>
      </c>
      <c r="H24" s="38" t="n"/>
      <c r="I24" s="38" t="n"/>
      <c r="J24" s="39">
        <f>SUM(E24:I24)</f>
        <v/>
      </c>
      <c r="K24" s="40">
        <f>J24-D24</f>
        <v/>
      </c>
      <c r="L24" s="20" t="inlineStr">
        <is>
          <t>2–3</t>
        </is>
      </c>
    </row>
    <row r="25">
      <c r="A25" s="37" t="inlineStr">
        <is>
          <t>A04</t>
        </is>
      </c>
      <c r="B25" s="4" t="inlineStr">
        <is>
          <t>Hoàn thiện Worker pipeline</t>
        </is>
      </c>
      <c r="C25" s="20" t="inlineStr">
        <is>
          <t>High</t>
        </is>
      </c>
      <c r="D25" s="38">
        <f>SUMIFS('Hạng mục công việc'!$N$4:$N$94,'Hạng mục công việc'!$B$4:$B$94,"A04",'Hạng mục công việc'!$C$4:$C$94,"EPIC")</f>
        <v/>
      </c>
      <c r="E25" s="38" t="n">
        <v>1.5</v>
      </c>
      <c r="F25" s="38" t="n">
        <v>1.5</v>
      </c>
      <c r="G25" s="38" t="n"/>
      <c r="H25" s="38" t="n"/>
      <c r="I25" s="38" t="n"/>
      <c r="J25" s="39">
        <f>SUM(E25:I25)</f>
        <v/>
      </c>
      <c r="K25" s="40">
        <f>J25-D25</f>
        <v/>
      </c>
      <c r="L25" s="20" t="inlineStr">
        <is>
          <t>1–2</t>
        </is>
      </c>
    </row>
    <row r="26">
      <c r="A26" s="37" t="inlineStr">
        <is>
          <t>A05</t>
        </is>
      </c>
      <c r="B26" s="4" t="inlineStr">
        <is>
          <t>Xây dựng giao diện người dùng</t>
        </is>
      </c>
      <c r="C26" s="20" t="inlineStr">
        <is>
          <t>High</t>
        </is>
      </c>
      <c r="D26" s="38">
        <f>SUMIFS('Hạng mục công việc'!$N$4:$N$94,'Hạng mục công việc'!$B$4:$B$94,"A05",'Hạng mục công việc'!$C$4:$C$94,"EPIC")</f>
        <v/>
      </c>
      <c r="E26" s="38" t="n"/>
      <c r="F26" s="38" t="n">
        <v>2</v>
      </c>
      <c r="G26" s="38" t="n">
        <v>2</v>
      </c>
      <c r="H26" s="38" t="n"/>
      <c r="I26" s="38" t="n"/>
      <c r="J26" s="39">
        <f>SUM(E26:I26)</f>
        <v/>
      </c>
      <c r="K26" s="40">
        <f>J26-D26</f>
        <v/>
      </c>
      <c r="L26" s="20" t="inlineStr">
        <is>
          <t>2–3</t>
        </is>
      </c>
    </row>
    <row r="27">
      <c r="A27" s="37" t="inlineStr">
        <is>
          <t>A06</t>
        </is>
      </c>
      <c r="B27" s="4" t="inlineStr">
        <is>
          <t>IAM và bảo mật</t>
        </is>
      </c>
      <c r="C27" s="20" t="inlineStr">
        <is>
          <t>High</t>
        </is>
      </c>
      <c r="D27" s="38">
        <f>SUMIFS('Hạng mục công việc'!$N$4:$N$94,'Hạng mục công việc'!$B$4:$B$94,"A06",'Hạng mục công việc'!$C$4:$C$94,"EPIC")</f>
        <v/>
      </c>
      <c r="E27" s="38" t="n">
        <v>0.75</v>
      </c>
      <c r="F27" s="38" t="n">
        <v>0.75</v>
      </c>
      <c r="G27" s="38" t="n"/>
      <c r="H27" s="38" t="n"/>
      <c r="I27" s="38" t="n"/>
      <c r="J27" s="39">
        <f>SUM(E27:I27)</f>
        <v/>
      </c>
      <c r="K27" s="40">
        <f>J27-D27</f>
        <v/>
      </c>
      <c r="L27" s="20" t="inlineStr">
        <is>
          <t>1–2</t>
        </is>
      </c>
    </row>
    <row r="28">
      <c r="A28" s="37" t="inlineStr">
        <is>
          <t>A07</t>
        </is>
      </c>
      <c r="B28" s="4" t="inlineStr">
        <is>
          <t>Đóng gói Docker và stack local</t>
        </is>
      </c>
      <c r="C28" s="20" t="inlineStr">
        <is>
          <t>Medium</t>
        </is>
      </c>
      <c r="D28" s="38">
        <f>SUMIFS('Hạng mục công việc'!$N$4:$N$94,'Hạng mục công việc'!$B$4:$B$94,"A07",'Hạng mục công việc'!$C$4:$C$94,"EPIC")</f>
        <v/>
      </c>
      <c r="E28" s="38" t="n">
        <v>0.75</v>
      </c>
      <c r="F28" s="38" t="n">
        <v>0.75</v>
      </c>
      <c r="G28" s="38" t="n"/>
      <c r="H28" s="38" t="n"/>
      <c r="I28" s="38" t="n"/>
      <c r="J28" s="39">
        <f>SUM(E28:I28)</f>
        <v/>
      </c>
      <c r="K28" s="40">
        <f>J28-D28</f>
        <v/>
      </c>
      <c r="L28" s="20" t="inlineStr">
        <is>
          <t>1–2</t>
        </is>
      </c>
    </row>
    <row r="29">
      <c r="A29" s="37" t="inlineStr">
        <is>
          <t>A08</t>
        </is>
      </c>
      <c r="B29" s="4" t="inlineStr">
        <is>
          <t>Terraform hạ tầng dữ liệu</t>
        </is>
      </c>
      <c r="C29" s="20" t="inlineStr">
        <is>
          <t>High</t>
        </is>
      </c>
      <c r="D29" s="38">
        <f>SUMIFS('Hạng mục công việc'!$N$4:$N$94,'Hạng mục công việc'!$B$4:$B$94,"A08",'Hạng mục công việc'!$C$4:$C$94,"EPIC")</f>
        <v/>
      </c>
      <c r="E29" s="38" t="n">
        <v>1.5</v>
      </c>
      <c r="F29" s="38" t="n">
        <v>1.5</v>
      </c>
      <c r="G29" s="38" t="n"/>
      <c r="H29" s="38" t="n"/>
      <c r="I29" s="38" t="n"/>
      <c r="J29" s="39">
        <f>SUM(E29:I29)</f>
        <v/>
      </c>
      <c r="K29" s="40">
        <f>J29-D29</f>
        <v/>
      </c>
      <c r="L29" s="20" t="inlineStr">
        <is>
          <t>1–2</t>
        </is>
      </c>
    </row>
    <row r="30">
      <c r="A30" s="37" t="inlineStr">
        <is>
          <t>A09</t>
        </is>
      </c>
      <c r="B30" s="4" t="inlineStr">
        <is>
          <t>Compute và deploy</t>
        </is>
      </c>
      <c r="C30" s="20" t="inlineStr">
        <is>
          <t>High</t>
        </is>
      </c>
      <c r="D30" s="38">
        <f>SUMIFS('Hạng mục công việc'!$N$4:$N$94,'Hạng mục công việc'!$B$4:$B$94,"A09",'Hạng mục công việc'!$C$4:$C$94,"EPIC")</f>
        <v/>
      </c>
      <c r="E30" s="38" t="n"/>
      <c r="F30" s="38" t="n">
        <v>2</v>
      </c>
      <c r="G30" s="38" t="n">
        <v>2</v>
      </c>
      <c r="H30" s="38" t="n"/>
      <c r="I30" s="38" t="n"/>
      <c r="J30" s="39">
        <f>SUM(E30:I30)</f>
        <v/>
      </c>
      <c r="K30" s="40">
        <f>J30-D30</f>
        <v/>
      </c>
      <c r="L30" s="20" t="inlineStr">
        <is>
          <t>2–3</t>
        </is>
      </c>
    </row>
    <row r="31">
      <c r="A31" s="37" t="inlineStr">
        <is>
          <t>A10</t>
        </is>
      </c>
      <c r="B31" s="4" t="inlineStr">
        <is>
          <t>Kiểm thử E2E và tích hợp</t>
        </is>
      </c>
      <c r="C31" s="20" t="inlineStr">
        <is>
          <t>High</t>
        </is>
      </c>
      <c r="D31" s="38">
        <f>SUMIFS('Hạng mục công việc'!$N$4:$N$94,'Hạng mục công việc'!$B$4:$B$94,"A10",'Hạng mục công việc'!$C$4:$C$94,"EPIC")</f>
        <v/>
      </c>
      <c r="E31" s="38" t="n"/>
      <c r="F31" s="38" t="n"/>
      <c r="G31" s="38" t="n">
        <v>1.5</v>
      </c>
      <c r="H31" s="38" t="n">
        <v>1.5</v>
      </c>
      <c r="I31" s="38" t="n"/>
      <c r="J31" s="39">
        <f>SUM(E31:I31)</f>
        <v/>
      </c>
      <c r="K31" s="40">
        <f>J31-D31</f>
        <v/>
      </c>
      <c r="L31" s="20" t="inlineStr">
        <is>
          <t>3–4</t>
        </is>
      </c>
    </row>
    <row r="32">
      <c r="A32" s="37" t="inlineStr">
        <is>
          <t>A11</t>
        </is>
      </c>
      <c r="B32" s="4" t="inlineStr">
        <is>
          <t>Benchmark và chaos test</t>
        </is>
      </c>
      <c r="C32" s="20" t="inlineStr">
        <is>
          <t>Medium</t>
        </is>
      </c>
      <c r="D32" s="38">
        <f>SUMIFS('Hạng mục công việc'!$N$4:$N$94,'Hạng mục công việc'!$B$4:$B$94,"A11",'Hạng mục công việc'!$C$4:$C$94,"EPIC")</f>
        <v/>
      </c>
      <c r="E32" s="38" t="n"/>
      <c r="F32" s="38" t="n"/>
      <c r="G32" s="38" t="n"/>
      <c r="H32" s="38" t="n">
        <v>2</v>
      </c>
      <c r="I32" s="38" t="n"/>
      <c r="J32" s="39">
        <f>SUM(E32:I32)</f>
        <v/>
      </c>
      <c r="K32" s="40">
        <f>J32-D32</f>
        <v/>
      </c>
      <c r="L32" s="20" t="inlineStr">
        <is>
          <t>4</t>
        </is>
      </c>
    </row>
    <row r="33">
      <c r="A33" s="37" t="inlineStr">
        <is>
          <t>A12</t>
        </is>
      </c>
      <c r="B33" s="4" t="inlineStr">
        <is>
          <t>Hỗ trợ kiểm thử E2E (worker, giao diện)</t>
        </is>
      </c>
      <c r="C33" s="20" t="inlineStr">
        <is>
          <t>Medium</t>
        </is>
      </c>
      <c r="D33" s="38">
        <f>SUMIFS('Hạng mục công việc'!$N$4:$N$94,'Hạng mục công việc'!$B$4:$B$94,"A12",'Hạng mục công việc'!$C$4:$C$94,"EPIC")</f>
        <v/>
      </c>
      <c r="E33" s="38" t="n"/>
      <c r="F33" s="38" t="n"/>
      <c r="G33" s="38" t="n"/>
      <c r="H33" s="38" t="n">
        <v>0.5</v>
      </c>
      <c r="I33" s="38" t="n"/>
      <c r="J33" s="39">
        <f>SUM(E33:I33)</f>
        <v/>
      </c>
      <c r="K33" s="40">
        <f>J33-D33</f>
        <v/>
      </c>
      <c r="L33" s="20" t="inlineStr">
        <is>
          <t>4</t>
        </is>
      </c>
    </row>
    <row r="34">
      <c r="A34" s="37" t="inlineStr">
        <is>
          <t>A13</t>
        </is>
      </c>
      <c r="B34" s="4" t="inlineStr">
        <is>
          <t>Báo cáo và demo</t>
        </is>
      </c>
      <c r="C34" s="20" t="inlineStr">
        <is>
          <t>Medium</t>
        </is>
      </c>
      <c r="D34" s="38">
        <f>SUMIFS('Hạng mục công việc'!$N$4:$N$94,'Hạng mục công việc'!$B$4:$B$94,"A13",'Hạng mục công việc'!$C$4:$C$94,"EPIC")</f>
        <v/>
      </c>
      <c r="E34" s="38" t="n">
        <v>0.8</v>
      </c>
      <c r="F34" s="38" t="n">
        <v>0.8</v>
      </c>
      <c r="G34" s="38" t="n">
        <v>0.8</v>
      </c>
      <c r="H34" s="38" t="n">
        <v>0.8</v>
      </c>
      <c r="I34" s="38" t="n">
        <v>0.8</v>
      </c>
      <c r="J34" s="39">
        <f>SUM(E34:I34)</f>
        <v/>
      </c>
      <c r="K34" s="40">
        <f>J34-D34</f>
        <v/>
      </c>
      <c r="L34" s="20" t="inlineStr">
        <is>
          <t>1–4 + dự phòng</t>
        </is>
      </c>
    </row>
    <row r="35">
      <c r="A35" s="16" t="inlineStr">
        <is>
          <t>TỔNG</t>
        </is>
      </c>
      <c r="B35" s="41" t="n"/>
      <c r="C35" s="41" t="n"/>
      <c r="D35" s="19">
        <f>SUM(D22:D34)</f>
        <v/>
      </c>
      <c r="E35" s="19">
        <f>SUM(E22:E34)</f>
        <v/>
      </c>
      <c r="F35" s="19">
        <f>SUM(F22:F34)</f>
        <v/>
      </c>
      <c r="G35" s="19">
        <f>SUM(G22:G34)</f>
        <v/>
      </c>
      <c r="H35" s="19">
        <f>SUM(H22:H34)</f>
        <v/>
      </c>
      <c r="I35" s="19">
        <f>SUM(I22:I34)</f>
        <v/>
      </c>
      <c r="J35" s="19">
        <f>SUM(J22:J34)</f>
        <v/>
      </c>
      <c r="K35" s="42">
        <f>SUM(K22:K34)</f>
        <v/>
      </c>
      <c r="L35" s="41" t="n"/>
    </row>
    <row r="36">
      <c r="A36" s="43" t="inlineStr">
        <is>
          <t>Capacity mỗi sprint</t>
        </is>
      </c>
      <c r="E36" s="29" t="n">
        <v>10</v>
      </c>
      <c r="F36" s="29" t="n">
        <v>10</v>
      </c>
      <c r="G36" s="29" t="n">
        <v>10</v>
      </c>
      <c r="H36" s="29" t="n">
        <v>10</v>
      </c>
      <c r="I36" s="29" t="n">
        <v>12</v>
      </c>
      <c r="L36" s="44" t="inlineStr">
        <is>
          <t>Tuần dự phòng: 4 người × 3 ngày</t>
        </is>
      </c>
    </row>
    <row r="37">
      <c r="A37" s="45" t="inlineStr">
        <is>
          <t>Chênh lệch (phân bổ − capacity)</t>
        </is>
      </c>
      <c r="E37" s="46">
        <f>E35-E36</f>
        <v/>
      </c>
      <c r="F37" s="46">
        <f>F35-F36</f>
        <v/>
      </c>
      <c r="G37" s="46">
        <f>G35-G36</f>
        <v/>
      </c>
      <c r="H37" s="46">
        <f>H35-H36</f>
        <v/>
      </c>
      <c r="I37" s="46">
        <f>I35-I36</f>
        <v/>
      </c>
    </row>
    <row r="38">
      <c r="A38" s="43" t="inlineStr">
        <is>
          <t>Tải so với capacity</t>
        </is>
      </c>
      <c r="E38" s="47">
        <f>E35/E36</f>
        <v/>
      </c>
      <c r="F38" s="47">
        <f>F35/F36</f>
        <v/>
      </c>
      <c r="G38" s="47">
        <f>G35/G36</f>
        <v/>
      </c>
      <c r="H38" s="47">
        <f>H35/H36</f>
        <v/>
      </c>
      <c r="I38" s="47">
        <f>I35/I36</f>
        <v/>
      </c>
    </row>
    <row r="39">
      <c r="A39" s="2" t="inlineStr">
        <is>
          <t>Giả định phân bổ: effort của hạng mục trải qua nhiều sprint được chia đều cho các sprint đó; A13 chia 0,8 pd cho mỗi sprint và tuần dự phòng; 'Cả nhóm' (A01, A13) chia đều 4 người. Các ô tô đỏ là sprint vượt capacity — xem sheet 'Mốc và phụ thuộc', khối 'ĐIỂM CẦN RÀ'. Số phân bổ theo sprint là giả định lập kế hoạch, chỉ cột Effort là số của bảng 3.2.</t>
        </is>
      </c>
    </row>
    <row r="40"/>
    <row r="42">
      <c r="A42" s="3" t="inlineStr">
        <is>
          <t>CĂN CỨ ƯỚC LƯỢNG THEO HIỆN TRẠNG REPO (rà soát 27/10)</t>
        </is>
      </c>
    </row>
    <row r="43" ht="24" customHeight="1">
      <c r="A43" s="15" t="inlineStr">
        <is>
          <t>Kết luận từ repo</t>
        </is>
      </c>
      <c r="B43" s="30" t="n"/>
      <c r="C43" s="30" t="n"/>
      <c r="D43" s="30" t="n"/>
      <c r="E43" s="30" t="n"/>
      <c r="F43" s="31" t="n"/>
      <c r="G43" s="15" t="inlineStr">
        <is>
          <t>Ảnh hưởng lên kế hoạch</t>
        </is>
      </c>
      <c r="H43" s="30" t="n"/>
      <c r="I43" s="30" t="n"/>
      <c r="J43" s="30" t="n"/>
      <c r="K43" s="30" t="n"/>
      <c r="L43" s="31" t="n"/>
    </row>
    <row r="44" ht="30" customHeight="1">
      <c r="A44" s="4" t="inlineStr">
        <is>
          <t>Worker Go + FFmpeg đã chạy trọn pipeline local tới COMPLETED, có unit test — khoảng 75% đầu việc</t>
        </is>
      </c>
      <c r="B44" s="34" t="n"/>
      <c r="C44" s="34" t="n"/>
      <c r="D44" s="34" t="n"/>
      <c r="E44" s="34" t="n"/>
      <c r="F44" s="34" t="n"/>
      <c r="G44" s="4" t="inlineStr">
        <is>
          <t>A04 giảm còn 3,0 pd; Vũ dồn phần dư sang A05 (giao diện)</t>
        </is>
      </c>
      <c r="H44" s="34" t="n"/>
      <c r="I44" s="34" t="n"/>
      <c r="J44" s="34" t="n"/>
      <c r="K44" s="34" t="n"/>
      <c r="L44" s="34" t="n"/>
    </row>
    <row r="45" ht="30" customHeight="1">
      <c r="A45" s="4" t="inlineStr">
        <is>
          <t>Backend Spring Boot chưa có dòng code nào (backend/ chỉ có README)</t>
        </is>
      </c>
      <c r="B45" s="34" t="n"/>
      <c r="C45" s="34" t="n"/>
      <c r="D45" s="34" t="n"/>
      <c r="E45" s="34" t="n"/>
      <c r="F45" s="34" t="n"/>
      <c r="G45" s="4" t="inlineStr">
        <is>
          <t>A02 + A03 = 7,5 pd — hạng mục lớn nhất, đường găng của kế hoạch</t>
        </is>
      </c>
      <c r="H45" s="34" t="n"/>
      <c r="I45" s="34" t="n"/>
      <c r="J45" s="34" t="n"/>
      <c r="K45" s="34" t="n"/>
      <c r="L45" s="34" t="n"/>
    </row>
    <row r="46" ht="30" customHeight="1">
      <c r="A46" s="4" t="inlineStr">
        <is>
          <t>Frontend chưa có code; chiến lược mock-first (MSW + VITE_API_MODE) đã duyệt</t>
        </is>
      </c>
      <c r="B46" s="34" t="n"/>
      <c r="C46" s="34" t="n"/>
      <c r="D46" s="34" t="n"/>
      <c r="E46" s="34" t="n"/>
      <c r="F46" s="34" t="n"/>
      <c r="G46" s="4" t="inlineStr">
        <is>
          <t>A05 = 4,0 pd; phần hợp nhất real (presigned PUT, CORS) không mock được → A12</t>
        </is>
      </c>
      <c r="H46" s="34" t="n"/>
      <c r="I46" s="34" t="n"/>
      <c r="J46" s="34" t="n"/>
      <c r="K46" s="34" t="n"/>
      <c r="L46" s="34" t="n"/>
    </row>
    <row r="47" ht="30" customHeight="1">
      <c r="A47" s="4" t="inlineStr">
        <is>
          <t>Terraform, IAM, compute, edge, giám sát chưa có (infra/terraform chỉ có README + .gitkeep)</t>
        </is>
      </c>
      <c r="B47" s="34" t="n"/>
      <c r="C47" s="34" t="n"/>
      <c r="D47" s="34" t="n"/>
      <c r="E47" s="34" t="n"/>
      <c r="F47" s="34" t="n"/>
      <c r="G47" s="4" t="inlineStr">
        <is>
          <t>Nhóm cloud A06–A11 tính từ số 0, tổng 14,0 pd</t>
        </is>
      </c>
      <c r="H47" s="34" t="n"/>
      <c r="I47" s="34" t="n"/>
      <c r="J47" s="34" t="n"/>
      <c r="K47" s="34" t="n"/>
      <c r="L47" s="34" t="n"/>
    </row>
    <row r="48" ht="30" customHeight="1">
      <c r="A48" s="4" t="inlineStr">
        <is>
          <t>Chưa có Dockerfile nào dù docker-compose đã trỏ build: ./backend và ./worker</t>
        </is>
      </c>
      <c r="B48" s="34" t="n"/>
      <c r="C48" s="34" t="n"/>
      <c r="D48" s="34" t="n"/>
      <c r="E48" s="34" t="n"/>
      <c r="F48" s="34" t="n"/>
      <c r="G48" s="4" t="inlineStr">
        <is>
          <t>A07 chặn mọi thứ chạy container — đề xuất ưu tiên High, làm sớm nhất</t>
        </is>
      </c>
      <c r="H48" s="34" t="n"/>
      <c r="I48" s="34" t="n"/>
      <c r="J48" s="34" t="n"/>
      <c r="K48" s="34" t="n"/>
      <c r="L48" s="34" t="n"/>
    </row>
  </sheetData>
  <mergeCells count="35">
    <mergeCell ref="E18:L18"/>
    <mergeCell ref="A46:F46"/>
    <mergeCell ref="A38:D38"/>
    <mergeCell ref="E14:L14"/>
    <mergeCell ref="A12:L12"/>
    <mergeCell ref="A39:L40"/>
    <mergeCell ref="D7:L7"/>
    <mergeCell ref="E17:L17"/>
    <mergeCell ref="A2:L2"/>
    <mergeCell ref="A47:F47"/>
    <mergeCell ref="A42:L42"/>
    <mergeCell ref="G45:L45"/>
    <mergeCell ref="D9:L9"/>
    <mergeCell ref="E13:L13"/>
    <mergeCell ref="A35:C35"/>
    <mergeCell ref="D8:L8"/>
    <mergeCell ref="A36:D36"/>
    <mergeCell ref="A4:L4"/>
    <mergeCell ref="A43:F43"/>
    <mergeCell ref="A20:L20"/>
    <mergeCell ref="G47:L47"/>
    <mergeCell ref="D5:L5"/>
    <mergeCell ref="E15:L15"/>
    <mergeCell ref="A44:F44"/>
    <mergeCell ref="G44:L44"/>
    <mergeCell ref="G46:L46"/>
    <mergeCell ref="A48:F48"/>
    <mergeCell ref="G43:L43"/>
    <mergeCell ref="D10:L10"/>
    <mergeCell ref="A37:D37"/>
    <mergeCell ref="A45:F45"/>
    <mergeCell ref="A1:L1"/>
    <mergeCell ref="E16:L16"/>
    <mergeCell ref="G48:L48"/>
    <mergeCell ref="D6:L6"/>
  </mergeCells>
  <conditionalFormatting sqref="E38">
    <cfRule type="expression" priority="1" dxfId="4">
      <formula>E38&gt;1</formula>
    </cfRule>
  </conditionalFormatting>
  <conditionalFormatting sqref="F38">
    <cfRule type="expression" priority="2" dxfId="4">
      <formula>F38&gt;1</formula>
    </cfRule>
  </conditionalFormatting>
  <conditionalFormatting sqref="G38">
    <cfRule type="expression" priority="3" dxfId="4">
      <formula>G38&gt;1</formula>
    </cfRule>
  </conditionalFormatting>
  <conditionalFormatting sqref="H38">
    <cfRule type="expression" priority="4" dxfId="4">
      <formula>H38&gt;1</formula>
    </cfRule>
  </conditionalFormatting>
  <conditionalFormatting sqref="I38">
    <cfRule type="expression" priority="5" dxfId="4">
      <formula>I38&gt;1</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548235"/>
    <outlinePr summaryBelow="1" summaryRight="1"/>
    <pageSetUpPr fitToPage="1"/>
  </sheetPr>
  <dimension ref="A1:G30"/>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40" customWidth="1" min="3" max="3"/>
    <col width="22" customWidth="1" min="4" max="4"/>
    <col width="28" customWidth="1" min="5" max="5"/>
    <col width="30" customWidth="1" min="6" max="6"/>
    <col width="46" customWidth="1" min="7" max="7"/>
  </cols>
  <sheetData>
    <row r="1" ht="22" customHeight="1">
      <c r="A1" s="14" t="inlineStr">
        <is>
          <t>ÁNH XẠ KIẾN TRÚC — mỗi thành phần hệ thống ứng với hạng mục nào (A01–A13)</t>
        </is>
      </c>
    </row>
    <row r="2" ht="30" customHeight="1">
      <c r="A2" s="2" t="inlineStr">
        <is>
          <t>Chiều ngược của bảng chính: ứng với mỗi thành phần trong kiến trúc, hạng mục nào chạm tới nó và nó đang ở trạng thái nào. Tham chiếu [n] của từng thành phần xem sheet 'Nguồn và quy ước'.</t>
        </is>
      </c>
    </row>
    <row r="3" ht="40" customHeight="1">
      <c r="A3" s="15" t="inlineStr">
        <is>
          <t>Tầng kiến trúc</t>
        </is>
      </c>
      <c r="B3" s="15" t="inlineStr">
        <is>
          <t>Thành phần / dịch vụ</t>
        </is>
      </c>
      <c r="C3" s="15" t="inlineStr">
        <is>
          <t>Vị trí trong sơ đồ luồng</t>
        </is>
      </c>
      <c r="D3" s="15" t="inlineStr">
        <is>
          <t>Hạng mục công việc liên quan</t>
        </is>
      </c>
      <c r="E3" s="15" t="inlineStr">
        <is>
          <t>Hợp đồng / nguồn sự thật</t>
        </is>
      </c>
      <c r="F3" s="15" t="inlineStr">
        <is>
          <t>Trạng thái theo bằng chứng repo</t>
        </is>
      </c>
      <c r="G3" s="15" t="inlineStr">
        <is>
          <t>Ghi chú kỹ thuật / điểm mở</t>
        </is>
      </c>
    </row>
    <row r="4">
      <c r="A4" s="48" t="inlineStr">
        <is>
          <t>Trình bày</t>
        </is>
      </c>
      <c r="B4" s="4" t="inlineStr">
        <is>
          <t>React SaaS Web (Vite + TypeScript + hls.js)</t>
        </is>
      </c>
      <c r="C4" s="4" t="inlineStr">
        <is>
          <t xml:space="preserve">Client → CloudFront / </t>
        </is>
      </c>
      <c r="D4" s="4" t="inlineStr">
        <is>
          <t>A05, A09</t>
        </is>
      </c>
      <c r="E4" s="4" t="inlineStr">
        <is>
          <t>openapi.yaml; video-state-machine.md</t>
        </is>
      </c>
      <c r="F4" s="23" t="inlineStr">
        <is>
          <t>❌ frontend/ chỉ có README</t>
        </is>
      </c>
      <c r="G4" s="4" t="inlineStr">
        <is>
          <t>Phát triển độc lập trên mock (MSW) rồi hợp nhất tuần 9; rủi ro mock drift</t>
        </is>
      </c>
    </row>
    <row r="5">
      <c r="A5" s="48" t="inlineStr">
        <is>
          <t>Trình bày / Edge</t>
        </is>
      </c>
      <c r="B5" s="4" t="inlineStr">
        <is>
          <t>CloudFront default behavior → S3 frontend</t>
        </is>
      </c>
      <c r="C5" s="4" t="inlineStr">
        <is>
          <t>Người dùng → CloudFront / → bucket frontend</t>
        </is>
      </c>
      <c r="D5" s="4" t="inlineStr">
        <is>
          <t>A09</t>
        </is>
      </c>
      <c r="E5" s="4" t="inlineStr">
        <is>
          <t>s3-key-convention.md (bucket frontend)</t>
        </is>
      </c>
      <c r="F5" s="23" t="inlineStr">
        <is>
          <t>❌ Chưa có</t>
        </is>
      </c>
      <c r="G5" s="4" t="inlineStr">
        <is>
          <t>S3 REST origin + OAC; default root index.html; SPA fallback chỉ ở frontend</t>
        </is>
      </c>
    </row>
    <row r="6">
      <c r="A6" s="49" t="inlineStr">
        <is>
          <t>Edge / Truy cập</t>
        </is>
      </c>
      <c r="B6" s="4" t="inlineStr">
        <is>
          <t>CloudFront /api/* → Cloudflare Tunnel → EC2 API</t>
        </is>
      </c>
      <c r="C6" s="4" t="inlineStr">
        <is>
          <t>Browser → CloudFront /api/* → origin-api.&lt;domain&gt; → cloudflared → 127.0.0.1:8080</t>
        </is>
      </c>
      <c r="D6" s="4" t="inlineStr">
        <is>
          <t>A09, A02</t>
        </is>
      </c>
      <c r="E6" s="4" t="inlineStr">
        <is>
          <t>openapi.yaml</t>
        </is>
      </c>
      <c r="F6" s="23" t="inlineStr">
        <is>
          <t>❌ Chưa có</t>
        </is>
      </c>
      <c r="G6" s="4" t="inlineStr">
        <is>
          <t>Bắt buộc: origin request policy AllViewerExceptHostHeader (không forward Host viewer); CachingDisabled</t>
        </is>
      </c>
    </row>
    <row r="7">
      <c r="A7" s="49" t="inlineStr">
        <is>
          <t>Edge / Phân phối</t>
        </is>
      </c>
      <c r="B7" s="4" t="inlineStr">
        <is>
          <t>CloudFront /media/* + Function rewrite → S3 output</t>
        </is>
      </c>
      <c r="C7" s="4" t="inlineStr">
        <is>
          <t>Người xem → /media/{projectId}/{videoId}/hls/master.m3u8 → rewrite → bucket output</t>
        </is>
      </c>
      <c r="D7" s="4" t="inlineStr">
        <is>
          <t>A09, A04, A05</t>
        </is>
      </c>
      <c r="E7" s="4" t="inlineStr">
        <is>
          <t>s3-key-convention.md</t>
        </is>
      </c>
      <c r="F7" s="23" t="inlineStr">
        <is>
          <t>❌ Chưa có</t>
        </is>
      </c>
      <c r="G7" s="4" t="inlineStr">
        <is>
          <t>Behavior không tự bỏ tiền tố /media; Content-Type .m3u8/.ts/.jpg phải đúng; TTL/invalidation khi xử lý lại</t>
        </is>
      </c>
    </row>
    <row r="8">
      <c r="A8" s="50" t="inlineStr">
        <is>
          <t>Ứng dụng / API</t>
        </is>
      </c>
      <c r="B8" s="4" t="inlineStr">
        <is>
          <t>Spring Boot module A - Identity &amp; Project</t>
        </is>
      </c>
      <c r="C8" s="4" t="inlineStr">
        <is>
          <t>JWT (SaaS) và API key (Developer API) → cùng một backend</t>
        </is>
      </c>
      <c r="D8" s="4" t="inlineStr">
        <is>
          <t>A02, A06</t>
        </is>
      </c>
      <c r="E8" s="4" t="inlineStr">
        <is>
          <t>dynamodb-tables.md; openapi.yaml</t>
        </is>
      </c>
      <c r="F8" s="23" t="inlineStr">
        <is>
          <t>❌ backend/ chỉ có README</t>
        </is>
      </c>
      <c r="G8" s="4" t="inlineStr">
        <is>
          <t>API key gắn project, chỉ lưu hash; ownership enforce ở đây chứ không ở IAM</t>
        </is>
      </c>
    </row>
    <row r="9">
      <c r="A9" s="50" t="inlineStr">
        <is>
          <t>Ứng dụng / API</t>
        </is>
      </c>
      <c r="B9" s="4" t="inlineStr">
        <is>
          <t>Spring Boot module B - Video Management</t>
        </is>
      </c>
      <c r="C9" s="4" t="inlineStr">
        <is>
          <t>API → DynamoDB videos (GSI theo projectId)</t>
        </is>
      </c>
      <c r="D9" s="4" t="inlineStr">
        <is>
          <t>A02, A03</t>
        </is>
      </c>
      <c r="E9" s="4" t="inlineStr">
        <is>
          <t>dynamodb-tables.md</t>
        </is>
      </c>
      <c r="F9" s="23" t="inlineStr">
        <is>
          <t>❌ Chưa có</t>
        </is>
      </c>
      <c r="G9" s="4" t="inlineStr">
        <is>
          <t>Cursor pagination; trạng thái hiển thị theo state machine</t>
        </is>
      </c>
    </row>
    <row r="10">
      <c r="A10" s="50" t="inlineStr">
        <is>
          <t>Ứng dụng / API</t>
        </is>
      </c>
      <c r="B10" s="4" t="inlineStr">
        <is>
          <t>Spring Boot module C - Upload Service</t>
        </is>
      </c>
      <c r="C10" s="4" t="inlineStr">
        <is>
          <t>API ký presigned PUT → browser PUT thẳng S3 input (không qua API)</t>
        </is>
      </c>
      <c r="D10" s="4" t="inlineStr">
        <is>
          <t>A03, A08, A07</t>
        </is>
      </c>
      <c r="E10" s="4" t="inlineStr">
        <is>
          <t>upload-limits.md; s3-key-convention.md</t>
        </is>
      </c>
      <c r="F10" s="23" t="inlineStr">
        <is>
          <t>❌ Chưa có</t>
        </is>
      </c>
      <c r="G10" s="4" t="inlineStr">
        <is>
          <t>Chuỗi bảo vệ giới hạn: client → API khai báo → confirm HeadObject → ffprobe → lifecycle</t>
        </is>
      </c>
    </row>
    <row r="11">
      <c r="A11" s="50" t="inlineStr">
        <is>
          <t>Ứng dụng / API</t>
        </is>
      </c>
      <c r="B11" s="4" t="inlineStr">
        <is>
          <t>Spring Boot module D - Job Management</t>
        </is>
      </c>
      <c r="C11" s="4" t="inlineStr">
        <is>
          <t>API confirm → UPLOADING→PENDING → SendMessage SQS</t>
        </is>
      </c>
      <c r="D11" s="4" t="inlineStr">
        <is>
          <t>A03, A04</t>
        </is>
      </c>
      <c r="E11" s="4" t="inlineStr">
        <is>
          <t>sqs-job-message.schema.json; video-state-machine.md</t>
        </is>
      </c>
      <c r="F11" s="23" t="inlineStr">
        <is>
          <t>❌ Chưa có</t>
        </is>
      </c>
      <c r="G11" s="4" t="inlineStr">
        <is>
          <t>ĐIỂM MỞ: UpdateItem và SendMessage không nguyên tử → dễ mất job im lặng</t>
        </is>
      </c>
    </row>
    <row r="12">
      <c r="A12" s="50" t="inlineStr">
        <is>
          <t>Ứng dụng / API</t>
        </is>
      </c>
      <c r="B12" s="4" t="inlineStr">
        <is>
          <t>Spring Boot module F - Asset &amp; Integration</t>
        </is>
      </c>
      <c r="C12" s="4" t="inlineStr">
        <is>
          <t>GET /videos/{id} trả trạng thái + assets, API ghép /media/</t>
        </is>
      </c>
      <c r="D12" s="4" t="inlineStr">
        <is>
          <t>A03, A05, P1-1</t>
        </is>
      </c>
      <c r="E12" s="4" t="inlineStr">
        <is>
          <t>openapi.yaml</t>
        </is>
      </c>
      <c r="F12" s="23" t="inlineStr">
        <is>
          <t>❌ Chưa có</t>
        </is>
      </c>
      <c r="G12" s="4" t="inlineStr">
        <is>
          <t>'Một call cho trạng thái + asset'; lưu S3 key chứ không lưu URL đầy đủ</t>
        </is>
      </c>
    </row>
    <row r="13">
      <c r="A13" s="51" t="inlineStr">
        <is>
          <t>Xử lý</t>
        </is>
      </c>
      <c r="B13" s="4" t="inlineStr">
        <is>
          <t>Worker Go + FFmpeg (module E) trong container tvc-worker</t>
        </is>
      </c>
      <c r="C13" s="4" t="inlineStr">
        <is>
          <t>SQS → worker → S3 input → ffprobe/FFmpeg → S3 output → DynamoDB → ACK</t>
        </is>
      </c>
      <c r="D13" s="4" t="inlineStr">
        <is>
          <t>A04, A09</t>
        </is>
      </c>
      <c r="E13" s="4" t="inlineStr">
        <is>
          <t>docs-worker/3 §3.3-§3.9; s3-key-convention.md</t>
        </is>
      </c>
      <c r="F13" s="24" t="inlineStr">
        <is>
          <t>✅ Code Go 1.427 dòng, COMPLETED trên LocalStack; ❌ chưa Dockerfile / chưa AWS</t>
        </is>
      </c>
      <c r="G13" s="4" t="inlineStr">
        <is>
          <t>Một job một lúc mỗi máy; muốn tăng throughput thì ASG thêm máy; không có nhánh code theo môi trường</t>
        </is>
      </c>
    </row>
    <row r="14">
      <c r="A14" s="51" t="inlineStr">
        <is>
          <t>Xử lý / Dữ liệu</t>
        </is>
      </c>
      <c r="B14" s="4" t="inlineStr">
        <is>
          <t>SQS tvc-{env}-jobs + DLQ (maxReceiveCount 3)</t>
        </is>
      </c>
      <c r="C14" s="4" t="inlineStr">
        <is>
          <t>API → queue → worker; redrive → DLQ; backlog → metric → ASG</t>
        </is>
      </c>
      <c r="D14" s="4" t="inlineStr">
        <is>
          <t>A03, A04, A08, A11</t>
        </is>
      </c>
      <c r="E14" s="4" t="inlineStr">
        <is>
          <t>sqs-job-message.schema.json</t>
        </is>
      </c>
      <c r="F14" s="24" t="inlineStr">
        <is>
          <t>✅ LocalStack; ❌ AWS</t>
        </is>
      </c>
      <c r="G14" s="4" t="inlineStr">
        <is>
          <t>Visibility 300 s là khởi điểm, không phải deadline transcode</t>
        </is>
      </c>
    </row>
    <row r="15">
      <c r="A15" s="52" t="inlineStr">
        <is>
          <t>Dữ liệu</t>
        </is>
      </c>
      <c r="B15" s="4" t="inlineStr">
        <is>
          <t>S3 bucket input (private)</t>
        </is>
      </c>
      <c r="C15" s="4" t="inlineStr">
        <is>
          <t>Browser PUT trực tiếp; worker chỉ đọc</t>
        </is>
      </c>
      <c r="D15" s="4" t="inlineStr">
        <is>
          <t>A08, A03, A04, A07</t>
        </is>
      </c>
      <c r="E15" s="4" t="inlineStr">
        <is>
          <t>s3-key-convention.md; upload-limits.md</t>
        </is>
      </c>
      <c r="F15" s="24" t="inlineStr">
        <is>
          <t>✅ LocalStack; ❌ AWS</t>
        </is>
      </c>
      <c r="G15" s="4" t="inlineStr">
        <is>
          <t>Worker cố tình không có s3:PutObject vào input (ca kiểm tra quyền âm)</t>
        </is>
      </c>
    </row>
    <row r="16">
      <c r="A16" s="52" t="inlineStr">
        <is>
          <t>Dữ liệu</t>
        </is>
      </c>
      <c r="B16" s="4" t="inlineStr">
        <is>
          <t>S3 bucket output (private, HLS + thumbnail)</t>
        </is>
      </c>
      <c r="C16" s="4" t="inlineStr">
        <is>
          <t>Worker ghi; CloudFront đọc qua OAC</t>
        </is>
      </c>
      <c r="D16" s="4" t="inlineStr">
        <is>
          <t>A08, A04, A09</t>
        </is>
      </c>
      <c r="E16" s="4" t="inlineStr">
        <is>
          <t>s3-key-convention.md</t>
        </is>
      </c>
      <c r="F16" s="24" t="inlineStr">
        <is>
          <t>✅ LocalStack (8 object, Content-Type đúng); ❌ AWS</t>
        </is>
      </c>
      <c r="G16" s="4" t="inlineStr">
        <is>
          <t>Không tự thêm lifecycle xóa output khi chưa thống nhất với App</t>
        </is>
      </c>
    </row>
    <row r="17">
      <c r="A17" s="52" t="inlineStr">
        <is>
          <t>Dữ liệu</t>
        </is>
      </c>
      <c r="B17" s="4" t="inlineStr">
        <is>
          <t>DynamoDB 4 bảng users / projects / apikeys / videos</t>
        </is>
      </c>
      <c r="C17" s="4" t="inlineStr">
        <is>
          <t>API CRUD metadata; worker chỉ UpdateItem videos có điều kiện</t>
        </is>
      </c>
      <c r="D17" s="4" t="inlineStr">
        <is>
          <t>A08, A02, A04</t>
        </is>
      </c>
      <c r="E17" s="4" t="inlineStr">
        <is>
          <t>dynamodb-tables.md</t>
        </is>
      </c>
      <c r="F17" s="24" t="inlineStr">
        <is>
          <t>✅ LocalStack (kèm GSI); ❌ AWS</t>
        </is>
      </c>
      <c r="G17" s="4" t="inlineStr">
        <is>
          <t>ADR 0001: chỉ DynamoDB, không RDS, không bảng job riêng - assets nằm trong map của item videos</t>
        </is>
      </c>
    </row>
    <row r="18">
      <c r="A18" s="53" t="inlineStr">
        <is>
          <t>Hạ tầng</t>
        </is>
      </c>
      <c r="B18" s="4" t="inlineStr">
        <is>
          <t>EC2 API instance (Docker + cloudflared)</t>
        </is>
      </c>
      <c r="C18" s="4" t="inlineStr">
        <is>
          <t>Đứng sau Tunnel, không mở inbound; bind 127.0.0.1:8080</t>
        </is>
      </c>
      <c r="D18" s="4" t="inlineStr">
        <is>
          <t>A09, A06</t>
        </is>
      </c>
      <c r="E18" s="4" t="inlineStr">
        <is>
          <t>docs-cloud/3 §6; scripts/deploy-api.sh</t>
        </is>
      </c>
      <c r="F18" s="23" t="inlineStr">
        <is>
          <t>❌ Chưa có</t>
        </is>
      </c>
      <c r="G18" s="4" t="inlineStr">
        <is>
          <t>Một instance cho MVP; quản trị qua Session Manager, không SSH</t>
        </is>
      </c>
    </row>
    <row r="19">
      <c r="A19" s="53" t="inlineStr">
        <is>
          <t>Hạ tầng</t>
        </is>
      </c>
      <c r="B19" s="4" t="inlineStr">
        <is>
          <t>EC2 Worker ASG (Spot, mixed instances, min 0-1 / max cấu hình)</t>
        </is>
      </c>
      <c r="C19" s="4" t="inlineStr">
        <is>
          <t>Scale theo backlog; thu hồi Spot báo trước ~2 phút</t>
        </is>
      </c>
      <c r="D19" s="4" t="inlineStr">
        <is>
          <t>A09, A11, A04</t>
        </is>
      </c>
      <c r="E19" s="4" t="inlineStr">
        <is>
          <t>docs-cloud/3 §8</t>
        </is>
      </c>
      <c r="F19" s="23" t="inlineStr">
        <is>
          <t>❌ Chưa có</t>
        </is>
      </c>
      <c r="G19" s="4" t="inlineStr">
        <is>
          <t>Min 0 đổi cold start 2-4 phút; ScaleInProtectedInstances=Wait khi Instance Refresh</t>
        </is>
      </c>
    </row>
    <row r="20">
      <c r="A20" s="54" t="inlineStr">
        <is>
          <t>Bảo mật</t>
        </is>
      </c>
      <c r="B20" s="4" t="inlineStr">
        <is>
          <t>IAM roles API / Worker / Deploy / Metric publisher</t>
        </is>
      </c>
      <c r="C20" s="4" t="inlineStr">
        <is>
          <t>Bốn danh tính, bốn phạm vi quyền khác nhau</t>
        </is>
      </c>
      <c r="D20" s="4" t="inlineStr">
        <is>
          <t>A06</t>
        </is>
      </c>
      <c r="E20" s="4" t="inlineStr">
        <is>
          <t>docs-cloud/3 §6; docs-worker/3 §3.9</t>
        </is>
      </c>
      <c r="F20" s="23" t="inlineStr">
        <is>
          <t>❌ Chưa có</t>
        </is>
      </c>
      <c r="G20" s="4" t="inlineStr">
        <is>
          <t>Phân quyền ghi trạng thái phải nằm trong code + conditional write, không chỉ dựa vào IAM</t>
        </is>
      </c>
    </row>
    <row r="21">
      <c r="A21" s="54" t="inlineStr">
        <is>
          <t>Bảo mật</t>
        </is>
      </c>
      <c r="B21" s="4" t="inlineStr">
        <is>
          <t>SSM Parameter Store /tvc/{env}/... (SecureString)</t>
        </is>
      </c>
      <c r="C21" s="4" t="inlineStr">
        <is>
          <t>Cloud cấp tên tài nguyên + secret cho App qua env/SSM</t>
        </is>
      </c>
      <c r="D21" s="4" t="inlineStr">
        <is>
          <t>A06, A09</t>
        </is>
      </c>
      <c r="E21" s="4" t="inlineStr">
        <is>
          <t>docs-cloud/3 §4</t>
        </is>
      </c>
      <c r="F21" s="23" t="inlineStr">
        <is>
          <t>❌ Chưa có</t>
        </is>
      </c>
      <c r="G21" s="4" t="inlineStr">
        <is>
          <t>Không commit secret; local có SSM trong compose nhưng chưa có luồng cấp secret</t>
        </is>
      </c>
    </row>
    <row r="22">
      <c r="A22" s="53" t="inlineStr">
        <is>
          <t>Hạ tầng</t>
        </is>
      </c>
      <c r="B22" s="4" t="inlineStr">
        <is>
          <t>ECR tvc-backend / tvc-worker</t>
        </is>
      </c>
      <c r="C22" s="4" t="inlineStr">
        <is>
          <t>Image đã kiểm chứng local → đẩy lên ECR → EC2/ASG pull</t>
        </is>
      </c>
      <c r="D22" s="4" t="inlineStr">
        <is>
          <t>A09, A07</t>
        </is>
      </c>
      <c r="E22" s="4" t="inlineStr">
        <is>
          <t>docs-cloud/4 §7</t>
        </is>
      </c>
      <c r="F22" s="23" t="inlineStr">
        <is>
          <t>❌ Chưa có</t>
        </is>
      </c>
      <c r="G22" s="4" t="inlineStr">
        <is>
          <t>Gắn commit SHA và ghi lại digest</t>
        </is>
      </c>
    </row>
    <row r="23">
      <c r="A23" s="49" t="inlineStr">
        <is>
          <t>Mạng</t>
        </is>
      </c>
      <c r="B23" s="4" t="inlineStr">
        <is>
          <t>VPC + public subnet + IGW + S3 Gateway Endpoint (không NAT)</t>
        </is>
      </c>
      <c r="C23" s="4" t="inlineStr">
        <is>
          <t>Đường outbound của API/worker tới AWS, ECR, Tunnel</t>
        </is>
      </c>
      <c r="D23" s="4" t="inlineStr">
        <is>
          <t>A08, A06</t>
        </is>
      </c>
      <c r="E23" s="4" t="inlineStr">
        <is>
          <t>docs-cloud/3 §6</t>
        </is>
      </c>
      <c r="F23" s="23" t="inlineStr">
        <is>
          <t>❌ Chưa có</t>
        </is>
      </c>
      <c r="G23" s="4" t="inlineStr">
        <is>
          <t>Public IPv4 tính phí theo giờ; Gateway Endpoint hỗ trợ S3 nhưng không thay toàn bộ outbound</t>
        </is>
      </c>
    </row>
    <row r="24">
      <c r="A24" s="55" t="inlineStr">
        <is>
          <t>Quan sát</t>
        </is>
      </c>
      <c r="B24" s="4" t="inlineStr">
        <is>
          <t>CloudWatch Logs / Metrics / Dashboard / Alarm + SNS + Budgets</t>
        </is>
      </c>
      <c r="C24" s="4" t="inlineStr">
        <is>
          <t>API, worker, queue → CloudWatch → scaling policy → ASG</t>
        </is>
      </c>
      <c r="D24" s="4" t="inlineStr">
        <is>
          <t>A11, A10</t>
        </is>
      </c>
      <c r="E24" s="4" t="inlineStr">
        <is>
          <t>docs-cloud/3 §9; docs-worker/3 §3.11</t>
        </is>
      </c>
      <c r="F24" s="23" t="inlineStr">
        <is>
          <t>❌ Chưa có</t>
        </is>
      </c>
      <c r="G24" s="4" t="inlineStr">
        <is>
          <t>Ngân sách 25/50 USD chỉ là cảnh báo, không chặn chi tiêu</t>
        </is>
      </c>
    </row>
    <row r="25">
      <c r="A25" s="55" t="inlineStr">
        <is>
          <t>Co giãn</t>
        </is>
      </c>
      <c r="B25" s="4" t="inlineStr">
        <is>
          <t>metricpub + BacklogPerInstance = backlog / max(1, workers)</t>
        </is>
      </c>
      <c r="C25" s="4" t="inlineStr">
        <is>
          <t>Chạy ngoài ASG (ví dụ trên EC2 API) để đánh thức từ 0 máy</t>
        </is>
      </c>
      <c r="D25" s="4" t="inlineStr">
        <is>
          <t>A11</t>
        </is>
      </c>
      <c r="E25" s="4" t="inlineStr">
        <is>
          <t>introduction/1 §8.4</t>
        </is>
      </c>
      <c r="F25" s="23" t="inlineStr">
        <is>
          <t>❌ Chưa có</t>
        </is>
      </c>
      <c r="G25" s="4" t="inlineStr">
        <is>
          <t>Min ≥ 1 thì dùng metric math của ASG và bỏ metricpub; API tắt thì đường đánh thức mất</t>
        </is>
      </c>
    </row>
    <row r="26">
      <c r="A26" s="48" t="inlineStr">
        <is>
          <t>Nền dev</t>
        </is>
      </c>
      <c r="B26" s="4" t="inlineStr">
        <is>
          <t>LocalStack + Docker Compose + nginx :8000</t>
        </is>
      </c>
      <c r="C26" s="4" t="inlineStr">
        <is>
          <t>Giả lập S3/SQS/DynamoDB + edge một domain</t>
        </is>
      </c>
      <c r="D26" s="4" t="inlineStr">
        <is>
          <t>A07</t>
        </is>
      </c>
      <c r="E26" s="4" t="inlineStr">
        <is>
          <t>local/localstack/init/01-resources.sh; Makefile</t>
        </is>
      </c>
      <c r="F26" s="24" t="inlineStr">
        <is>
          <t>✅ Đạt infra + smoke</t>
        </is>
      </c>
      <c r="G26" s="4" t="inlineStr">
        <is>
          <t>localstack:latest đòi license → pin 3.8.1; chưa lưu bền dữ liệu; chưa có lifecycle input</t>
        </is>
      </c>
    </row>
    <row r="27">
      <c r="A27" s="53" t="inlineStr">
        <is>
          <t>IaC</t>
        </is>
      </c>
      <c r="B27" s="4" t="inlineStr">
        <is>
          <t>Terraform modules storage/queue/database/network + envs dev/demo</t>
        </is>
      </c>
      <c r="C27" s="4" t="inlineStr">
        <is>
          <t>Dựng tầng Dữ liệu/Mạng trên AWS đúng theo docs/contracts</t>
        </is>
      </c>
      <c r="D27" s="4" t="inlineStr">
        <is>
          <t>A08</t>
        </is>
      </c>
      <c r="E27" s="4" t="inlineStr">
        <is>
          <t>docs-cloud/3 §4</t>
        </is>
      </c>
      <c r="F27" s="23" t="inlineStr">
        <is>
          <t>❌ Chưa có file .tf</t>
        </is>
      </c>
      <c r="G27" s="4" t="inlineStr">
        <is>
          <t>make tf-plan hiện sẽ fail; tên tài nguyên phải khớp mẫu tvc-{env}-* dùng cứng trong script</t>
        </is>
      </c>
    </row>
    <row r="28">
      <c r="A28" s="53" t="inlineStr">
        <is>
          <t>Vận hành</t>
        </is>
      </c>
      <c r="B28" s="4" t="inlineStr">
        <is>
          <t>GitHub Actions ci.yml / deploy.yml + scripts deploy</t>
        </is>
      </c>
      <c r="C28" s="4" t="inlineStr">
        <is>
          <t>Build/test module có manifest; deploy workflow_dispatch theo env</t>
        </is>
      </c>
      <c r="D28" s="4" t="inlineStr">
        <is>
          <t>A09, P1-2</t>
        </is>
      </c>
      <c r="E28" s="4" t="inlineStr">
        <is>
          <t>docs-cloud/4 §8.3</t>
        </is>
      </c>
      <c r="F28" s="24" t="inlineStr">
        <is>
          <t>✅ CI; ⭕ deploy workflow còn trống</t>
        </is>
      </c>
      <c r="G28" s="4" t="inlineStr">
        <is>
          <t>Workflow chưa gắn job với GitHub Environment; input env không tự đổi biến theo env</t>
        </is>
      </c>
    </row>
    <row r="29">
      <c r="A29" s="56" t="inlineStr">
        <is>
          <t>Biên giới tích hợp</t>
        </is>
      </c>
      <c r="B29" s="4" t="inlineStr">
        <is>
          <t>docs/contracts/ (6 file hợp đồng)</t>
        </is>
      </c>
      <c r="C29" s="4" t="inlineStr">
        <is>
          <t>Nơi mọi thành phần khớp nhau: API ↔ Worker ↔ Terraform ↔ local init ↔ frontend</t>
        </is>
      </c>
      <c r="D29" s="4" t="inlineStr">
        <is>
          <t>A01</t>
        </is>
      </c>
      <c r="E29" s="4" t="inlineStr">
        <is>
          <t>docs/contracts/README.md</t>
        </is>
      </c>
      <c r="F29" s="22" t="inlineStr">
        <is>
          <t>⭕ Tất cả còn nhãn DRAFT</t>
        </is>
      </c>
      <c r="G29" s="4" t="inlineStr">
        <is>
          <t>Cần review đủ 4 người trước M1; đổi contract phải cập nhật đồng bộ local init + Terraform + docs</t>
        </is>
      </c>
    </row>
    <row r="30">
      <c r="A30" s="57" t="inlineStr">
        <is>
          <t>Kiểm chứng</t>
        </is>
      </c>
      <c r="B30" s="4" t="inlineStr">
        <is>
          <t>tests/e2e/ + benchmark harness (module H)</t>
        </is>
      </c>
      <c r="C30" s="4" t="inlineStr">
        <is>
          <t>Chạy cùng kịch bản với BASE_URL local và cloud</t>
        </is>
      </c>
      <c r="D30" s="4" t="inlineStr">
        <is>
          <t>A10, A11</t>
        </is>
      </c>
      <c r="E30" s="4" t="inlineStr">
        <is>
          <t>docs-cloud/4 §5, §9</t>
        </is>
      </c>
      <c r="F30" s="23" t="inlineStr">
        <is>
          <t>❌ chỉ có README; make e2e/chaos là placeholder</t>
        </is>
      </c>
      <c r="G30" s="4" t="inlineStr">
        <is>
          <t>Không dùng kết quả placeholder làm bằng chứng nghiệm thu</t>
        </is>
      </c>
    </row>
  </sheetData>
  <autoFilter ref="A3:G30"/>
  <mergeCells count="2">
    <mergeCell ref="A2:G2"/>
    <mergeCell ref="A1:F1"/>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BF8F00"/>
    <outlinePr summaryBelow="1" summaryRight="1"/>
    <pageSetUpPr fitToPage="1"/>
  </sheetPr>
  <dimension ref="A1:S1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11" customWidth="1" min="16" max="16"/>
    <col width="12" customWidth="1" min="17" max="17"/>
    <col width="9" customWidth="1" min="18" max="18"/>
  </cols>
  <sheetData>
    <row r="1" ht="22" customHeight="1">
      <c r="A1" s="14" t="inlineStr">
        <is>
          <t>TẢI ƯỚC TÍNH THEO NGƯỜI CHỊU TRÁCH NHIỆM</t>
        </is>
      </c>
    </row>
    <row r="2" ht="30" customHeight="1">
      <c r="A2" s="2" t="inlineStr">
        <is>
          <t>Hàng 'Effort bảng 3.2' lấy bằng SUMIFS từ sheet 'Hạng mục công việc'; hàng 'Chênh lệch' phải bằng 0 với mọi cột. 'Cả nhóm' (A01, A13) chia đều 4 người.</t>
        </is>
      </c>
    </row>
    <row r="3" ht="54" customHeight="1">
      <c r="A3" s="15" t="inlineStr">
        <is>
          <t>Thành viên</t>
        </is>
      </c>
      <c r="B3" s="15" t="inlineStr">
        <is>
          <t>Vai trò</t>
        </is>
      </c>
      <c r="C3" s="15" t="inlineStr">
        <is>
          <t>A01</t>
        </is>
      </c>
      <c r="D3" s="15" t="inlineStr">
        <is>
          <t>A02</t>
        </is>
      </c>
      <c r="E3" s="15" t="inlineStr">
        <is>
          <t>A03</t>
        </is>
      </c>
      <c r="F3" s="15" t="inlineStr">
        <is>
          <t>A04</t>
        </is>
      </c>
      <c r="G3" s="15" t="inlineStr">
        <is>
          <t>A05</t>
        </is>
      </c>
      <c r="H3" s="15" t="inlineStr">
        <is>
          <t>A06</t>
        </is>
      </c>
      <c r="I3" s="15" t="inlineStr">
        <is>
          <t>A07</t>
        </is>
      </c>
      <c r="J3" s="15" t="inlineStr">
        <is>
          <t>A08</t>
        </is>
      </c>
      <c r="K3" s="15" t="inlineStr">
        <is>
          <t>A09</t>
        </is>
      </c>
      <c r="L3" s="15" t="inlineStr">
        <is>
          <t>A10</t>
        </is>
      </c>
      <c r="M3" s="15" t="inlineStr">
        <is>
          <t>A11</t>
        </is>
      </c>
      <c r="N3" s="15" t="inlineStr">
        <is>
          <t>A12</t>
        </is>
      </c>
      <c r="O3" s="15" t="inlineStr">
        <is>
          <t>A13</t>
        </is>
      </c>
      <c r="P3" s="15" t="inlineStr">
        <is>
          <t>Tổng (pd)</t>
        </is>
      </c>
      <c r="Q3" s="15" t="inlineStr">
        <is>
          <t>Capacity (pd)</t>
        </is>
      </c>
      <c r="R3" s="15" t="inlineStr">
        <is>
          <t>% tải</t>
        </is>
      </c>
    </row>
    <row r="4">
      <c r="A4" s="6" t="inlineStr">
        <is>
          <t>Bùi Hải Phương</t>
        </is>
      </c>
      <c r="B4" s="4" t="inlineStr">
        <is>
          <t>Frontend, Backend</t>
        </is>
      </c>
      <c r="C4" s="21" t="n">
        <v>0.5</v>
      </c>
      <c r="D4" s="21" t="n">
        <v>5</v>
      </c>
      <c r="E4" s="21" t="n">
        <v>2.5</v>
      </c>
      <c r="F4" s="21" t="n"/>
      <c r="G4" s="21" t="n"/>
      <c r="H4" s="21" t="n"/>
      <c r="I4" s="21" t="n"/>
      <c r="J4" s="21" t="n"/>
      <c r="K4" s="21" t="n"/>
      <c r="L4" s="21" t="n"/>
      <c r="M4" s="21" t="n"/>
      <c r="N4" s="21" t="n"/>
      <c r="O4" s="21" t="n">
        <v>1</v>
      </c>
      <c r="P4" s="39">
        <f>SUM(C4:O4)</f>
        <v/>
      </c>
      <c r="Q4" s="29" t="n">
        <v>10</v>
      </c>
      <c r="R4" s="47">
        <f>P4/Q4</f>
        <v/>
      </c>
    </row>
    <row r="5">
      <c r="A5" s="6" t="inlineStr">
        <is>
          <t>Đào Lê Long Vũ</t>
        </is>
      </c>
      <c r="B5" s="4" t="inlineStr">
        <is>
          <t>Frontend, Backend</t>
        </is>
      </c>
      <c r="C5" s="21" t="n">
        <v>0.5</v>
      </c>
      <c r="D5" s="21" t="n"/>
      <c r="E5" s="21" t="n"/>
      <c r="F5" s="21" t="n">
        <v>3</v>
      </c>
      <c r="G5" s="21" t="n">
        <v>4</v>
      </c>
      <c r="H5" s="21" t="n"/>
      <c r="I5" s="21" t="n"/>
      <c r="J5" s="21" t="n"/>
      <c r="K5" s="21" t="n"/>
      <c r="L5" s="21" t="n"/>
      <c r="M5" s="21" t="n"/>
      <c r="N5" s="21" t="n">
        <v>0.5</v>
      </c>
      <c r="O5" s="21" t="n">
        <v>1</v>
      </c>
      <c r="P5" s="39">
        <f>SUM(C5:O5)</f>
        <v/>
      </c>
      <c r="Q5" s="29" t="n">
        <v>10</v>
      </c>
      <c r="R5" s="47">
        <f>P5/Q5</f>
        <v/>
      </c>
    </row>
    <row r="6">
      <c r="A6" s="6" t="inlineStr">
        <is>
          <t>Nguyễn Hữu Lưu</t>
        </is>
      </c>
      <c r="B6" s="4" t="inlineStr">
        <is>
          <t>DevOps</t>
        </is>
      </c>
      <c r="C6" s="21" t="n">
        <v>0.5</v>
      </c>
      <c r="D6" s="21" t="n"/>
      <c r="E6" s="21" t="n"/>
      <c r="F6" s="21" t="n"/>
      <c r="G6" s="21" t="n"/>
      <c r="H6" s="21" t="n"/>
      <c r="I6" s="21" t="n">
        <v>1.5</v>
      </c>
      <c r="J6" s="21" t="n">
        <v>3</v>
      </c>
      <c r="K6" s="21" t="n"/>
      <c r="L6" s="21" t="n">
        <v>3</v>
      </c>
      <c r="M6" s="21" t="n"/>
      <c r="N6" s="21" t="n"/>
      <c r="O6" s="21" t="n">
        <v>1</v>
      </c>
      <c r="P6" s="39">
        <f>SUM(C6:O6)</f>
        <v/>
      </c>
      <c r="Q6" s="29" t="n">
        <v>10</v>
      </c>
      <c r="R6" s="47">
        <f>P6/Q6</f>
        <v/>
      </c>
    </row>
    <row r="7">
      <c r="A7" s="6" t="inlineStr">
        <is>
          <t>Hồ Văn Tiến Nguyên</t>
        </is>
      </c>
      <c r="B7" s="4" t="inlineStr">
        <is>
          <t>DevOps</t>
        </is>
      </c>
      <c r="C7" s="21" t="n">
        <v>0.5</v>
      </c>
      <c r="D7" s="21" t="n"/>
      <c r="E7" s="21" t="n"/>
      <c r="F7" s="21" t="n"/>
      <c r="G7" s="21" t="n"/>
      <c r="H7" s="21" t="n">
        <v>1.5</v>
      </c>
      <c r="I7" s="21" t="n"/>
      <c r="J7" s="21" t="n"/>
      <c r="K7" s="21" t="n">
        <v>4</v>
      </c>
      <c r="L7" s="21" t="n"/>
      <c r="M7" s="21" t="n">
        <v>2</v>
      </c>
      <c r="N7" s="21" t="n"/>
      <c r="O7" s="21" t="n">
        <v>1</v>
      </c>
      <c r="P7" s="39">
        <f>SUM(C7:O7)</f>
        <v/>
      </c>
      <c r="Q7" s="29" t="n">
        <v>10</v>
      </c>
      <c r="R7" s="47">
        <f>P7/Q7</f>
        <v/>
      </c>
    </row>
    <row r="8">
      <c r="A8" s="58" t="inlineStr">
        <is>
          <t>Tải theo người (Σ)</t>
        </is>
      </c>
      <c r="B8" s="59" t="n"/>
      <c r="C8" s="19">
        <f>SUM(C4:C7)</f>
        <v/>
      </c>
      <c r="D8" s="19">
        <f>SUM(D4:D7)</f>
        <v/>
      </c>
      <c r="E8" s="19">
        <f>SUM(E4:E7)</f>
        <v/>
      </c>
      <c r="F8" s="19">
        <f>SUM(F4:F7)</f>
        <v/>
      </c>
      <c r="G8" s="19">
        <f>SUM(G4:G7)</f>
        <v/>
      </c>
      <c r="H8" s="19">
        <f>SUM(H4:H7)</f>
        <v/>
      </c>
      <c r="I8" s="19">
        <f>SUM(I4:I7)</f>
        <v/>
      </c>
      <c r="J8" s="19">
        <f>SUM(J4:J7)</f>
        <v/>
      </c>
      <c r="K8" s="19">
        <f>SUM(K4:K7)</f>
        <v/>
      </c>
      <c r="L8" s="19">
        <f>SUM(L4:L7)</f>
        <v/>
      </c>
      <c r="M8" s="19">
        <f>SUM(M4:M7)</f>
        <v/>
      </c>
      <c r="N8" s="19">
        <f>SUM(N4:N7)</f>
        <v/>
      </c>
      <c r="O8" s="19">
        <f>SUM(O4:O7)</f>
        <v/>
      </c>
      <c r="P8" s="19">
        <f>SUM(P4:P7)</f>
        <v/>
      </c>
      <c r="Q8" s="19">
        <f>SUM(Q4:Q7)</f>
        <v/>
      </c>
      <c r="S8" s="59" t="n"/>
    </row>
    <row r="9">
      <c r="A9" s="43" t="inlineStr">
        <is>
          <t>Effort bảng 3.2 (SUMIFS)</t>
        </is>
      </c>
      <c r="C9" s="21">
        <f>SUMIFS('Hạng mục công việc'!$N$4:$N$94,'Hạng mục công việc'!$B$4:$B$94,"A01",'Hạng mục công việc'!$C$4:$C$94,"EPIC")</f>
        <v/>
      </c>
      <c r="D9" s="21">
        <f>SUMIFS('Hạng mục công việc'!$N$4:$N$94,'Hạng mục công việc'!$B$4:$B$94,"A02",'Hạng mục công việc'!$C$4:$C$94,"EPIC")</f>
        <v/>
      </c>
      <c r="E9" s="21">
        <f>SUMIFS('Hạng mục công việc'!$N$4:$N$94,'Hạng mục công việc'!$B$4:$B$94,"A03",'Hạng mục công việc'!$C$4:$C$94,"EPIC")</f>
        <v/>
      </c>
      <c r="F9" s="21">
        <f>SUMIFS('Hạng mục công việc'!$N$4:$N$94,'Hạng mục công việc'!$B$4:$B$94,"A04",'Hạng mục công việc'!$C$4:$C$94,"EPIC")</f>
        <v/>
      </c>
      <c r="G9" s="21">
        <f>SUMIFS('Hạng mục công việc'!$N$4:$N$94,'Hạng mục công việc'!$B$4:$B$94,"A05",'Hạng mục công việc'!$C$4:$C$94,"EPIC")</f>
        <v/>
      </c>
      <c r="H9" s="21">
        <f>SUMIFS('Hạng mục công việc'!$N$4:$N$94,'Hạng mục công việc'!$B$4:$B$94,"A06",'Hạng mục công việc'!$C$4:$C$94,"EPIC")</f>
        <v/>
      </c>
      <c r="I9" s="21">
        <f>SUMIFS('Hạng mục công việc'!$N$4:$N$94,'Hạng mục công việc'!$B$4:$B$94,"A07",'Hạng mục công việc'!$C$4:$C$94,"EPIC")</f>
        <v/>
      </c>
      <c r="J9" s="21">
        <f>SUMIFS('Hạng mục công việc'!$N$4:$N$94,'Hạng mục công việc'!$B$4:$B$94,"A08",'Hạng mục công việc'!$C$4:$C$94,"EPIC")</f>
        <v/>
      </c>
      <c r="K9" s="21">
        <f>SUMIFS('Hạng mục công việc'!$N$4:$N$94,'Hạng mục công việc'!$B$4:$B$94,"A09",'Hạng mục công việc'!$C$4:$C$94,"EPIC")</f>
        <v/>
      </c>
      <c r="L9" s="21">
        <f>SUMIFS('Hạng mục công việc'!$N$4:$N$94,'Hạng mục công việc'!$B$4:$B$94,"A10",'Hạng mục công việc'!$C$4:$C$94,"EPIC")</f>
        <v/>
      </c>
      <c r="M9" s="21">
        <f>SUMIFS('Hạng mục công việc'!$N$4:$N$94,'Hạng mục công việc'!$B$4:$B$94,"A11",'Hạng mục công việc'!$C$4:$C$94,"EPIC")</f>
        <v/>
      </c>
      <c r="N9" s="21">
        <f>SUMIFS('Hạng mục công việc'!$N$4:$N$94,'Hạng mục công việc'!$B$4:$B$94,"A12",'Hạng mục công việc'!$C$4:$C$94,"EPIC")</f>
        <v/>
      </c>
      <c r="O9" s="21">
        <f>SUMIFS('Hạng mục công việc'!$N$4:$N$94,'Hạng mục công việc'!$B$4:$B$94,"A13",'Hạng mục công việc'!$C$4:$C$94,"EPIC")</f>
        <v/>
      </c>
      <c r="P9" s="39">
        <f>SUMIFS('Hạng mục công việc'!$N$4:$N$94,'Hạng mục công việc'!$C$4:$C$94,"EPIC")</f>
        <v/>
      </c>
    </row>
    <row r="10">
      <c r="A10" s="45" t="inlineStr">
        <is>
          <t>Chênh lệch (phải bằng 0)</t>
        </is>
      </c>
      <c r="C10" s="46">
        <f>C8-C9</f>
        <v/>
      </c>
      <c r="D10" s="46">
        <f>D8-D9</f>
        <v/>
      </c>
      <c r="E10" s="46">
        <f>E8-E9</f>
        <v/>
      </c>
      <c r="F10" s="46">
        <f>F8-F9</f>
        <v/>
      </c>
      <c r="G10" s="46">
        <f>G8-G9</f>
        <v/>
      </c>
      <c r="H10" s="46">
        <f>H8-H9</f>
        <v/>
      </c>
      <c r="I10" s="46">
        <f>I8-I9</f>
        <v/>
      </c>
      <c r="J10" s="46">
        <f>J8-J9</f>
        <v/>
      </c>
      <c r="K10" s="46">
        <f>K8-K9</f>
        <v/>
      </c>
      <c r="L10" s="46">
        <f>L8-L9</f>
        <v/>
      </c>
      <c r="M10" s="46">
        <f>M8-M9</f>
        <v/>
      </c>
      <c r="N10" s="46">
        <f>N8-N9</f>
        <v/>
      </c>
      <c r="O10" s="46">
        <f>O8-O9</f>
        <v/>
      </c>
      <c r="P10" s="46">
        <f>P8-P9</f>
        <v/>
      </c>
    </row>
    <row r="12">
      <c r="A12" s="2" t="inlineStr">
        <is>
          <t>P1 / tùy chọn không cộng vào tổng: Webhook 1,5 pd (Phương), CI/CD hoàn chỉnh + Terraform phần còn lại 1,5 pd (Nguyên), metricpub 0,5 pd (Nguyên) — tổng 3,5 pd.</t>
        </is>
      </c>
    </row>
    <row r="13">
      <c r="A13" s="2" t="inlineStr">
        <is>
          <t>Ghi chú rà tải: mỗi người đúng 9,0/10,0 pd (90%) — cân bằng nhưng không còn dư cho rủi ro riêng của cá nhân; Phương gánh đường găng A02+A03 nên cần Vũ san phần review/hợp đồng khi chậm.</t>
        </is>
      </c>
    </row>
    <row r="14">
      <c r="A14" s="2" t="inlineStr">
        <is>
          <t>Quy chiếu tên: Bùi Hải Phương = Phương · Đào Lê Long Vũ = Vũ · Nguyễn Hữu Lưu = Lưu · Hồ Văn Tiến Nguyên = Nguyên.</t>
        </is>
      </c>
    </row>
  </sheetData>
  <mergeCells count="8">
    <mergeCell ref="A2:L2"/>
    <mergeCell ref="A10:B10"/>
    <mergeCell ref="A13:L13"/>
    <mergeCell ref="A14:L14"/>
    <mergeCell ref="A1:H1"/>
    <mergeCell ref="A9:B9"/>
    <mergeCell ref="A8:B8"/>
    <mergeCell ref="A12:L12"/>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7030A0"/>
    <outlinePr summaryBelow="1" summaryRight="1"/>
    <pageSetUpPr fitToPage="1"/>
  </sheetPr>
  <dimension ref="A1:F34"/>
  <sheetViews>
    <sheetView showGridLines="0" workbookViewId="0">
      <selection activeCell="A1" sqref="A1"/>
    </sheetView>
  </sheetViews>
  <sheetFormatPr baseColWidth="8" defaultRowHeight="15"/>
  <cols>
    <col width="22" customWidth="1" min="1" max="1"/>
    <col width="26" customWidth="1" min="2" max="2"/>
    <col width="30" customWidth="1" min="3" max="3"/>
    <col width="24" customWidth="1" min="4" max="4"/>
    <col width="26" customWidth="1" min="5" max="5"/>
    <col width="34" customWidth="1" min="6" max="6"/>
  </cols>
  <sheetData>
    <row r="1" ht="22" customHeight="1">
      <c r="A1" s="14" t="inlineStr">
        <is>
          <t>MỐC THEO SPRINT, ĐƯỜNG GĂNG, THỨ TỰ CẮT GIẢM VÀ ĐIỂM CẦN RÀ</t>
        </is>
      </c>
    </row>
    <row r="2" ht="30" customHeight="1">
      <c r="A2" s="2" t="inlineStr">
        <is>
          <t>Không coi mốc đã qua là đã hoàn thành nếu chưa có bằng chứng. Tuần dự phòng không phải tuần phát triển bù.</t>
        </is>
      </c>
    </row>
    <row r="4">
      <c r="A4" s="3" t="inlineStr">
        <is>
          <t>MỐC NGHIỆM THU THEO SPRINT (M0–M5 quy chiếu sang sprint)</t>
        </is>
      </c>
    </row>
    <row r="5" ht="30" customHeight="1">
      <c r="A5" s="15" t="inlineStr">
        <is>
          <t>Mốc</t>
        </is>
      </c>
      <c r="B5" s="15" t="inlineStr">
        <is>
          <t>Thời điểm</t>
        </is>
      </c>
      <c r="C5" s="15" t="inlineStr">
        <is>
          <t>Tiêu chí nghiệm thu</t>
        </is>
      </c>
      <c r="D5" s="15" t="inlineStr">
        <is>
          <t>Hạng mục mở khóa</t>
        </is>
      </c>
      <c r="E5" s="15" t="inlineStr">
        <is>
          <t>Bằng chứng cần có</t>
        </is>
      </c>
      <c r="F5" s="15" t="inlineStr">
        <is>
          <t>Nếu trễ</t>
        </is>
      </c>
    </row>
    <row r="6" ht="60" customHeight="1">
      <c r="A6" s="60" t="inlineStr">
        <is>
          <t>Cuối sprint 1</t>
        </is>
      </c>
      <c r="B6" s="4" t="inlineStr">
        <is>
          <t>Cuối tuần 7</t>
        </is>
      </c>
      <c r="C6" s="4" t="inlineStr">
        <is>
          <t>Hợp đồng hết DRAFT; khung backend/ + worker/ build &amp; test được; make infra/smoke đạt ≥2 máy; Dockerfile tồn tại.</t>
        </is>
      </c>
      <c r="D6" s="4" t="inlineStr">
        <is>
          <t>A01, A07, A08 (khởi động), A04 (ghép docker)</t>
        </is>
      </c>
      <c r="E6" s="4" t="inlineStr">
        <is>
          <t>PR contract được 4 người approve; log smoke; `go test ./...` xanh; `docker build` hai image</t>
        </is>
      </c>
      <c r="F6" s="4" t="inlineStr">
        <is>
          <t>Dồn vào A01 + Dockerfile; backend có thể bắt đầu trên nháp nhưng phải ghi rõ giả định</t>
        </is>
      </c>
    </row>
    <row r="7" ht="60" customHeight="1">
      <c r="A7" s="60" t="inlineStr">
        <is>
          <t>Cuối sprint 2 = M2</t>
        </is>
      </c>
      <c r="B7" s="4" t="inlineStr">
        <is>
          <t>Cuối tuần 8 (điểm kiểm soát bắt buộc)</t>
        </is>
      </c>
      <c r="C7" s="4" t="inlineStr">
        <is>
          <t>Pipeline end-to-end trên AWS: upload → SQS → worker → HLS → COMPLETED; S3/SQS/DynamoDB do Terraform tạo; IAM worker chạy thật, quyền thừa bị từ chối.</t>
        </is>
      </c>
      <c r="D7" s="4" t="inlineStr">
        <is>
          <t>A02, A03, A04, A06, A08, A09 (một phần)</t>
        </is>
      </c>
      <c r="E7" s="4" t="inlineStr">
        <is>
          <t>videoId + jobId + trạng thái + danh sách output + log không secret trên môi trường thật</t>
        </is>
      </c>
      <c r="F7" s="4" t="inlineStr">
        <is>
          <t>Không dời hạn tuần 10: dồn nguồn lực vào luồng chính, KHÔNG mở P1, lấy bằng chứng tối thiểu</t>
        </is>
      </c>
    </row>
    <row r="8" ht="60" customHeight="1">
      <c r="A8" s="60" t="inlineStr">
        <is>
          <t>Cuối sprint 3 = M3</t>
        </is>
      </c>
      <c r="B8" s="4" t="inlineStr">
        <is>
          <t>Cuối tuần 9</t>
        </is>
      </c>
      <c r="C8" s="4" t="inlineStr">
        <is>
          <t>SaaS + Developer API + HLS chạy cùng origin qua CloudFront + Tunnel; player phát video thật; UI polling; giám sát/co giãn đã lắp đặt xong.</t>
        </is>
      </c>
      <c r="D8" s="4" t="inlineStr">
        <is>
          <t>A05, A09, A11 (phần lắp đặt)</t>
        </is>
      </c>
      <c r="E8" s="4" t="inlineStr">
        <is>
          <t>URL demo, screenshot 3 behavior, dashboard backlog, worker tự scale 1→2</t>
        </is>
      </c>
      <c r="F8" s="4" t="inlineStr">
        <is>
          <t>Cắt trang embed / tên miền riêng; giữ player + link streaming</t>
        </is>
      </c>
    </row>
    <row r="9" ht="60" customHeight="1">
      <c r="A9" s="60" t="inlineStr">
        <is>
          <t>Cuối sprint 4 = M4</t>
        </is>
      </c>
      <c r="B9" s="4" t="inlineStr">
        <is>
          <t>Cuối tuần 10</t>
        </is>
      </c>
      <c r="C9" s="4" t="inlineStr">
        <is>
          <t>E2E đạt; số liệu benchmark 1 vs 2 worker + chaos/DLQ; báo cáo đủ ba phần; hai lần diễn tập; đóng băng phiên bản.</t>
        </is>
      </c>
      <c r="D9" s="4" t="inlineStr">
        <is>
          <t>A10, A11, A12, A13</t>
        </is>
      </c>
      <c r="E9" s="4" t="inlineStr">
        <is>
          <t>Bảng số liệu + biểu đồ, kịch bản e2e chạy lại được, tag phiên bản đóng băng</t>
        </is>
      </c>
      <c r="F9" s="4" t="inlineStr">
        <is>
          <t>Benchmark rút còn 1 vs 2 worker; chaos local + 1 ca AWS; không thêm tính năng mới</t>
        </is>
      </c>
    </row>
    <row r="10" ht="60" customHeight="1">
      <c r="A10" s="60" t="inlineStr">
        <is>
          <t>Tuần dự phòng = M5</t>
        </is>
      </c>
      <c r="B10" s="4" t="inlineStr">
        <is>
          <t>Sau sprint 4</t>
        </is>
      </c>
      <c r="C10" s="4" t="inlineStr">
        <is>
          <t>Rà hướng dẫn nộp, liên kết, phiên bản; chỉ sửa lỗi chặn nộp/demo.</t>
        </is>
      </c>
      <c r="D10" s="4" t="inlineStr">
        <is>
          <t>A13</t>
        </is>
      </c>
      <c r="E10" s="4" t="inlineStr">
        <is>
          <t>Hồ sơ nộp + xác nhận nộp được lưu</t>
        </is>
      </c>
      <c r="F10" s="4" t="inlineStr">
        <is>
          <t>Đây là tuần đệm, không phải tuần phát triển bù — nếu phải dùng chứng tỏ kế hoạch sai từ sprint 2</t>
        </is>
      </c>
    </row>
    <row r="12">
      <c r="A12" s="3" t="inlineStr">
        <is>
          <t>ĐƯỜNG GĂNG — thứ tự bắt buộc</t>
        </is>
      </c>
    </row>
    <row r="13">
      <c r="A13" s="61" t="inlineStr">
        <is>
          <t>→ A01 hợp đồng + khung → gate của mọi nhánh</t>
        </is>
      </c>
    </row>
    <row r="14">
      <c r="A14" s="61" t="inlineStr">
        <is>
          <t>→ A07 Docker → A08 Terraform dữ liệu → A06 IAM → A09 compute &amp; deploy (chuỗi Cloud)</t>
        </is>
      </c>
    </row>
    <row r="15">
      <c r="A15" s="61" t="inlineStr">
        <is>
          <t>→ A02 backend → A03 upload/điều phối → A05 UI (chuỗi App)</t>
        </is>
      </c>
    </row>
    <row r="16">
      <c r="A16" s="61" t="inlineStr">
        <is>
          <t>→ A04 worker hoàn thiện (heartbeat/DLQ/chaos) → A10 e2e → A11 benchmark/chaos</t>
        </is>
      </c>
    </row>
    <row r="17">
      <c r="A17" s="61" t="inlineStr">
        <is>
          <t>→ A10 + A11 số liệu → A13 báo cáo &amp; demo</t>
        </is>
      </c>
    </row>
    <row r="19">
      <c r="A19" s="3" t="inlineStr">
        <is>
          <t>THỨ TỰ CẮT GIẢM KHI TRỄ (lever)</t>
        </is>
      </c>
    </row>
    <row r="20" ht="24" customHeight="1">
      <c r="A20" s="15" t="inlineStr">
        <is>
          <t>#</t>
        </is>
      </c>
      <c r="B20" s="15" t="inlineStr">
        <is>
          <t>Lever</t>
        </is>
      </c>
      <c r="C20" s="15" t="inlineStr">
        <is>
          <t>Tiết kiệm</t>
        </is>
      </c>
      <c r="D20" s="15" t="inlineStr">
        <is>
          <t>Đổi lại</t>
        </is>
      </c>
      <c r="E20" s="30" t="n"/>
      <c r="F20" s="31" t="n"/>
    </row>
    <row r="21">
      <c r="A21" s="20" t="inlineStr">
        <is>
          <t>1</t>
        </is>
      </c>
      <c r="B21" s="4" t="inlineStr">
        <is>
          <t>Bỏ metricpub, chốt ASG Min ≥ 1 + metric math</t>
        </is>
      </c>
      <c r="C21" s="4" t="inlineStr">
        <is>
          <t>0,5 pd</t>
        </is>
      </c>
      <c r="D21" s="4" t="inlineStr">
        <is>
          <t>Tốn ~1 máy/đêm; demo vẫn scale 1→2 được</t>
        </is>
      </c>
      <c r="E21" s="34" t="n"/>
      <c r="F21" s="34" t="n"/>
    </row>
    <row r="22">
      <c r="A22" s="20" t="inlineStr">
        <is>
          <t>2</t>
        </is>
      </c>
      <c r="B22" s="4" t="inlineStr">
        <is>
          <t>Bỏ tên miền riêng, dùng *.cloudfront.net</t>
        </is>
      </c>
      <c r="C22" s="4" t="inlineStr">
        <is>
          <t>~0,5 pd</t>
        </is>
      </c>
      <c r="D22" s="4" t="inlineStr">
        <is>
          <t>Dòng A10/A11 rẻ hơn rõ rệt</t>
        </is>
      </c>
      <c r="E22" s="34" t="n"/>
      <c r="F22" s="34" t="n"/>
    </row>
    <row r="23">
      <c r="A23" s="20" t="inlineStr">
        <is>
          <t>3</t>
        </is>
      </c>
      <c r="B23" s="4" t="inlineStr">
        <is>
          <t>Bỏ trang embed/mã nhúng, giữ player + link streaming</t>
        </is>
      </c>
      <c r="C23" s="4" t="inlineStr">
        <is>
          <t>~0,5 pd</t>
        </is>
      </c>
      <c r="D23" s="4" t="inlineStr">
        <is>
          <t>Vẫn đủ luồng demo cốt lõi; ghi chú P1 trong báo cáo</t>
        </is>
      </c>
      <c r="E23" s="34" t="n"/>
      <c r="F23" s="34" t="n"/>
    </row>
    <row r="24">
      <c r="A24" s="20" t="inlineStr">
        <is>
          <t>4</t>
        </is>
      </c>
      <c r="B24" s="4" t="inlineStr">
        <is>
          <t>Benchmark chỉ 1 vs 2 worker; chaos local + 1 ca AWS</t>
        </is>
      </c>
      <c r="C24" s="4" t="inlineStr">
        <is>
          <t>~1,0 pd</t>
        </is>
      </c>
      <c r="D24" s="4" t="inlineStr">
        <is>
          <t>Vẫn đủ hai thí nghiệm bắt buộc</t>
        </is>
      </c>
      <c r="E24" s="34" t="n"/>
      <c r="F24" s="34" t="n"/>
    </row>
    <row r="25">
      <c r="A25" s="20" t="inlineStr">
        <is>
          <t>5</t>
        </is>
      </c>
      <c r="B25" s="4" t="inlineStr">
        <is>
          <t>KHÔNG cắt được: A02, A03 (backend)</t>
        </is>
      </c>
      <c r="C25" s="4" t="inlineStr">
        <is>
          <t>—</t>
        </is>
      </c>
      <c r="D25" s="4" t="inlineStr">
        <is>
          <t>Không có backend thì e2e, demo và số liệu thực nghiệm đều vô nghĩa</t>
        </is>
      </c>
      <c r="E25" s="34" t="n"/>
      <c r="F25" s="34" t="n"/>
    </row>
    <row r="27">
      <c r="A27" s="9" t="inlineStr">
        <is>
          <t>ĐIỂM CẦN RÀ TRONG BẢN KẾ HOẠCH NÀY (6 điểm)</t>
        </is>
      </c>
    </row>
    <row r="28" ht="24" customHeight="1">
      <c r="A28" s="15" t="inlineStr">
        <is>
          <t>Vấn đề</t>
        </is>
      </c>
      <c r="B28" s="31" t="n"/>
      <c r="C28" s="15" t="inlineStr">
        <is>
          <t>Vị trí trong workbook</t>
        </is>
      </c>
      <c r="D28" s="30" t="n"/>
      <c r="E28" s="31" t="n"/>
      <c r="F28" t="inlineStr"/>
    </row>
    <row r="29" ht="56" customHeight="1">
      <c r="A29" s="6" t="inlineStr">
        <is>
          <t>Tải sprint 2 vượt capacity</t>
        </is>
      </c>
      <c r="B29" s="34" t="n"/>
      <c r="C29" s="4" t="inlineStr">
        <is>
          <t>Phân bổ đều theo sprint của bảng 3.2 cho Sprint 2 ≈ 13,05 pd trong khi capacity mỗi sprint là 10 pd (4 người × 2,5 ngày). Nên dời A08 (C1.5 network, C1.6 root envs) hoặc phần edge của A09 sang sprint 3.</t>
        </is>
      </c>
      <c r="D29" s="34" t="n"/>
      <c r="E29" s="34" t="n"/>
      <c r="F29" s="62" t="inlineStr">
        <is>
          <t>Xem sheet 'Cơ sở kế hoạch', khối 'TẢI THEO SPRINT'</t>
        </is>
      </c>
    </row>
    <row r="30" ht="56" customHeight="1">
      <c r="A30" s="6" t="inlineStr">
        <is>
          <t>A09 chỉ ghi [11], [12]</t>
        </is>
      </c>
      <c r="B30" s="34" t="n"/>
      <c r="C30" s="4" t="inlineStr">
        <is>
          <t>Bản trước là 'Compute, edge &amp; deploy' với [1],[2],[3],[10],[11],[12]. Phần edge (CloudFront 3 behavior, Tunnel, OAC) vẫn là việc thật và vẫn nằm trong A09 — nên ghi đủ kẻo bị hiểu là đã cắt.</t>
        </is>
      </c>
      <c r="D30" s="34" t="n"/>
      <c r="E30" s="34" t="n"/>
      <c r="F30" s="62" t="inlineStr">
        <is>
          <t>Dòng A09, cột 'Phụ thuộc / rủi ro'</t>
        </is>
      </c>
    </row>
    <row r="31" ht="56" customHeight="1">
      <c r="A31" s="6" t="inlineStr">
        <is>
          <t>A07 để Medium nhưng là blocker</t>
        </is>
      </c>
      <c r="B31" s="34" t="n"/>
      <c r="C31" s="4" t="inlineStr">
        <is>
          <t>Không có Dockerfile thì A04 không ghép make up, A10 không có môi trường. Đề xuất đổi High và xếp làm sớm nhất (đúng ghi chú §3.3).</t>
        </is>
      </c>
      <c r="D31" s="34" t="n"/>
      <c r="E31" s="34" t="n"/>
      <c r="F31" s="62" t="inlineStr">
        <is>
          <t>Dòng A07</t>
        </is>
      </c>
    </row>
    <row r="32" ht="56" customHeight="1">
      <c r="A32" s="6" t="inlineStr">
        <is>
          <t>Không còn hạng mục giám sát &amp; co giãn riêng</t>
        </is>
      </c>
      <c r="B32" s="34" t="n"/>
      <c r="C32" s="4" t="inlineStr">
        <is>
          <t>Bản 11 dòng có mục riêng; bản A01–A13 dồn vào A11 (Medium, sprint 4). Phần *lắp đặt* alarm/dashboard/scaling nên về cuối sprint 3 cùng A09, sprint 4 chỉ chạy thí nghiệm.</t>
        </is>
      </c>
      <c r="D32" s="34" t="n"/>
      <c r="E32" s="34" t="n"/>
      <c r="F32" s="62" t="inlineStr">
        <is>
          <t>Dòng A11 và mốc 'Cuối sprint 3'</t>
        </is>
      </c>
    </row>
    <row r="33" ht="56" customHeight="1">
      <c r="A33" s="6" t="inlineStr">
        <is>
          <t>Tham chiếu [n] không kiểm chứng được trong repo</t>
        </is>
      </c>
      <c r="B33" s="34" t="n"/>
      <c r="C33" s="4" t="inlineStr">
        <is>
          <t>[n] là STT bảng 15 giao diện ở mục kiến trúc triển khai (Hình 2.1 [1]–[10], Hình 2.2 [11]–[15]) nằm trong transvidcloud_report2_deployment_section_v2.tex — file này chưa có trong repo. Bảng '[n] ↔ thành phần' trong sheet 'Nguồn và quy ước' là suy đoán theo luồng, cần đối chiếu lại với bản vẽ gốc.</t>
        </is>
      </c>
      <c r="D33" s="34" t="n"/>
      <c r="E33" s="34" t="n"/>
      <c r="F33" s="62" t="inlineStr">
        <is>
          <t>Sheet 'Nguồn và quy ước'</t>
        </is>
      </c>
    </row>
    <row r="34" ht="56" customHeight="1">
      <c r="A34" s="6" t="inlineStr">
        <is>
          <t>Tổng 36 pd = 90% capacity 40 pd</t>
        </is>
      </c>
      <c r="B34" s="34" t="n"/>
      <c r="C34" s="4" t="inlineStr">
        <is>
          <t>Đệm chỉ còn ~4 pd so với ~8 pd của bản 32 pd; mỗi người đúng 9,0/10,0 pd. Cân đối tải là tốt nhưng không còn dư cho rủi ro backend (A02) — theo dõi A02 hằng tuần.</t>
        </is>
      </c>
      <c r="D34" s="34" t="n"/>
      <c r="E34" s="34" t="n"/>
      <c r="F34" s="62" t="inlineStr">
        <is>
          <t>Sheet 'Tải theo người'</t>
        </is>
      </c>
    </row>
  </sheetData>
  <mergeCells count="32">
    <mergeCell ref="A16:F16"/>
    <mergeCell ref="A30:B30"/>
    <mergeCell ref="C31:E31"/>
    <mergeCell ref="A27:F27"/>
    <mergeCell ref="A12:F12"/>
    <mergeCell ref="A2:F2"/>
    <mergeCell ref="A14:F14"/>
    <mergeCell ref="A17:F17"/>
    <mergeCell ref="A4:F4"/>
    <mergeCell ref="D25:F25"/>
    <mergeCell ref="C32:E32"/>
    <mergeCell ref="D24:F24"/>
    <mergeCell ref="C28:E28"/>
    <mergeCell ref="A13:F13"/>
    <mergeCell ref="A19:F19"/>
    <mergeCell ref="D23:F23"/>
    <mergeCell ref="A33:B33"/>
    <mergeCell ref="A32:B32"/>
    <mergeCell ref="C30:E30"/>
    <mergeCell ref="D20:F20"/>
    <mergeCell ref="C34:E34"/>
    <mergeCell ref="A15:F15"/>
    <mergeCell ref="C33:E33"/>
    <mergeCell ref="A29:B29"/>
    <mergeCell ref="A1:F1"/>
    <mergeCell ref="D22:F22"/>
    <mergeCell ref="A28:B28"/>
    <mergeCell ref="C29:E29"/>
    <mergeCell ref="D21:F21"/>
    <mergeCell ref="A31:B31"/>
    <mergeCell ref="F28"/>
    <mergeCell ref="A34:B34"/>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808080"/>
    <outlinePr summaryBelow="1" summaryRight="1"/>
    <pageSetUpPr fitToPage="1"/>
  </sheetPr>
  <dimension ref="A1:D76"/>
  <sheetViews>
    <sheetView showGridLines="0" workbookViewId="0">
      <selection activeCell="A1" sqref="A1"/>
    </sheetView>
  </sheetViews>
  <sheetFormatPr baseColWidth="8" defaultRowHeight="15"/>
  <cols>
    <col width="44" customWidth="1" min="1" max="1"/>
    <col width="46" customWidth="1" min="2" max="2"/>
    <col width="30" customWidth="1" min="3" max="3"/>
    <col width="40" customWidth="1" min="4" max="4"/>
  </cols>
  <sheetData>
    <row r="1" ht="22" customHeight="1">
      <c r="A1" s="14" t="inlineStr">
        <is>
          <t>NGUỒN TÀI LIỆU, QUY ƯỚC, BẢNG [n] VÀ GIẢ ĐỊNH</t>
        </is>
      </c>
    </row>
    <row r="3">
      <c r="A3" s="3" t="inlineStr">
        <is>
          <t>QUY ƯỚC TRONG BẢNG</t>
        </is>
      </c>
    </row>
    <row r="4">
      <c r="A4" s="6" t="inlineStr">
        <is>
          <t>✅</t>
        </is>
      </c>
      <c r="B4" s="4" t="inlineStr">
        <is>
          <t>Đã hoàn thành và có bằng chứng chạy được ghi trong tài liệu work/</t>
        </is>
      </c>
      <c r="C4" s="34" t="n"/>
      <c r="D4" s="34" t="n"/>
    </row>
    <row r="5">
      <c r="A5" s="6" t="inlineStr">
        <is>
          <t>⭕</t>
        </is>
      </c>
      <c r="B5" s="4" t="inlineStr">
        <is>
          <t>Đang làm / có khung / DRAFT / chưa nối end-to-end</t>
        </is>
      </c>
      <c r="C5" s="34" t="n"/>
      <c r="D5" s="34" t="n"/>
    </row>
    <row r="6">
      <c r="A6" s="6" t="inlineStr">
        <is>
          <t>❌</t>
        </is>
      </c>
      <c r="B6" s="4" t="inlineStr">
        <is>
          <t>Chưa có trong repo hoặc chỉ là placeholder</t>
        </is>
      </c>
      <c r="C6" s="34" t="n"/>
      <c r="D6" s="34" t="n"/>
    </row>
    <row r="7">
      <c r="A7" s="6" t="inlineStr">
        <is>
          <t>⚪</t>
        </is>
      </c>
      <c r="B7" s="4" t="inlineStr">
        <is>
          <t>Chưa tới hạn hoặc ngoài cam kết nộp</t>
        </is>
      </c>
      <c r="C7" s="34" t="n"/>
      <c r="D7" s="34" t="n"/>
    </row>
    <row r="8">
      <c r="A8" s="6" t="inlineStr">
        <is>
          <t>⛔</t>
        </is>
      </c>
      <c r="B8" s="4" t="inlineStr">
        <is>
          <t>Ngoài cam kết nộp tuần 10 (P1)</t>
        </is>
      </c>
      <c r="C8" s="34" t="n"/>
      <c r="D8" s="34" t="n"/>
    </row>
    <row r="9">
      <c r="A9" s="6" t="inlineStr">
        <is>
          <t>pd</t>
        </is>
      </c>
      <c r="B9" s="4" t="inlineStr">
        <is>
          <t>Person-day = ngày công, KHÔNG phải số ngày lịch</t>
        </is>
      </c>
      <c r="C9" s="34" t="n"/>
      <c r="D9" s="34" t="n"/>
    </row>
    <row r="10">
      <c r="A10" s="6" t="inlineStr">
        <is>
          <t>P0 / P1</t>
        </is>
      </c>
      <c r="B10" s="4" t="inlineStr">
        <is>
          <t>P0 = cốt lõi thuộc cam kết nộp; P1 = nâng cao, ngoài cam kết</t>
        </is>
      </c>
      <c r="C10" s="34" t="n"/>
      <c r="D10" s="34" t="n"/>
    </row>
    <row r="11">
      <c r="A11" s="6" t="inlineStr">
        <is>
          <t>Trống ở cột 'Còn lại (pd)'</t>
        </is>
      </c>
      <c r="B11" s="4" t="inlineStr">
        <is>
          <t>Chưa ước lượng lại: baseline vẫn là con số điều hành. Chỉ điền số khi tài liệu trong repo nêu rõ (A4, A5, A6, A5.5)</t>
        </is>
      </c>
      <c r="C11" s="34" t="n"/>
      <c r="D11" s="34" t="n"/>
    </row>
    <row r="12">
      <c r="A12" s="6" t="inlineStr">
        <is>
          <t>Module chức năng</t>
        </is>
      </c>
      <c r="B12" s="4" t="inlineStr">
        <is>
          <t>A Identity &amp; Project · B Video Management · C Upload Service · D Job Management · E Worker/Transcoding · F Asset &amp; Integration · G Cloud/DevOps · H Benchmarking (SRS §26)</t>
        </is>
      </c>
      <c r="C12" s="34" t="n"/>
      <c r="D12" s="34" t="n"/>
    </row>
    <row r="13">
      <c r="A13" s="6" t="inlineStr">
        <is>
          <t>EPIC / TASK / P1</t>
        </is>
      </c>
      <c r="B13" s="4" t="inlineStr">
        <is>
          <t>EPIC = 13 hạng mục của bảng 3.2; TASK = nhiệm vụ chi tiết bóc ra; P1 = tùy chọn ngoài tổng effort</t>
        </is>
      </c>
      <c r="C13" s="34" t="n"/>
      <c r="D13" s="34" t="n"/>
    </row>
    <row r="14">
      <c r="A14" s="6" t="inlineStr">
        <is>
          <t>High / Medium / Low</t>
        </is>
      </c>
      <c r="B14" s="4" t="inlineStr">
        <is>
          <t>High = bắt buộc trên đường găng (P0); Medium = nên làm nếu còn capacity; Low = P1 ngoài cam kết nộp</t>
        </is>
      </c>
      <c r="C14" s="34" t="n"/>
      <c r="D14" s="34" t="n"/>
    </row>
    <row r="15">
      <c r="A15" s="6" t="inlineStr">
        <is>
          <t>[n]</t>
        </is>
      </c>
      <c r="B15" s="4" t="inlineStr">
        <is>
          <t>STT giao diện trong bảng 15 giao diện của mục kiến trúc triển khai (Hình 2.1: [1]–[10]; Hình 2.2: [11]–[15])</t>
        </is>
      </c>
      <c r="C15" s="34" t="n"/>
      <c r="D15" s="34" t="n"/>
    </row>
    <row r="16">
      <c r="A16" s="6" t="inlineStr">
        <is>
          <t>Effort để trống ở dòng TASK</t>
        </is>
      </c>
      <c r="B16" s="4" t="inlineStr">
        <is>
          <t>Effort chỉ tính một lần ở cấp hạng mục; nhiệm vụ chi tiết dùng để theo dõi tiến độ, không cộng thêm pd</t>
        </is>
      </c>
      <c r="C16" s="34" t="n"/>
      <c r="D16" s="34" t="n"/>
    </row>
    <row r="18">
      <c r="A18" s="3" t="inlineStr">
        <is>
          <t>BẢNG 15 GIAO DIỆN [n] — suy chiếu theo luồng hệ thống</t>
        </is>
      </c>
    </row>
    <row r="19">
      <c r="A19" s="13" t="inlineStr">
        <is>
          <t>Bảng 3.2 tham chiếu [n] theo mục kiến trúc triển khai (transvidcloud_report2_deployment_section_v2.tex) — file này CHƯA có trong repo, nên bảng dưới là suy chiếu từ luồng hệ thống trong docs-common và docs-cloud. Cần đối chiếu lại với bản vẽ gốc trước khi nộp.</t>
        </is>
      </c>
    </row>
    <row r="20"/>
    <row r="22" ht="22" customHeight="1">
      <c r="A22" s="15" t="inlineStr">
        <is>
          <t>[n]</t>
        </is>
      </c>
      <c r="B22" s="15" t="inlineStr">
        <is>
          <t>Tầng</t>
        </is>
      </c>
      <c r="C22" s="15" t="inlineStr">
        <is>
          <t>Thành phần / giao diện</t>
        </is>
      </c>
      <c r="D22" s="31" t="n"/>
    </row>
    <row r="23">
      <c r="A23" s="37" t="inlineStr">
        <is>
          <t>[1]</t>
        </is>
      </c>
      <c r="B23" s="63" t="inlineStr">
        <is>
          <t>Trình bày</t>
        </is>
      </c>
      <c r="C23" s="4" t="inlineStr">
        <is>
          <t>React SaaS Web qua CloudFront default behavior → bucket frontend</t>
        </is>
      </c>
      <c r="D23" s="34" t="n"/>
    </row>
    <row r="24">
      <c r="A24" s="37" t="inlineStr">
        <is>
          <t>[2]</t>
        </is>
      </c>
      <c r="B24" s="63" t="inlineStr">
        <is>
          <t>Truy cập</t>
        </is>
      </c>
      <c r="C24" s="4" t="inlineStr">
        <is>
          <t>CloudFront /api/* → Cloudflare Tunnel → EC2 API (Spring Boot)</t>
        </is>
      </c>
      <c r="D24" s="34" t="n"/>
    </row>
    <row r="25">
      <c r="A25" s="37" t="inlineStr">
        <is>
          <t>[3]</t>
        </is>
      </c>
      <c r="B25" s="63" t="inlineStr">
        <is>
          <t>Truy cập</t>
        </is>
      </c>
      <c r="C25" s="4" t="inlineStr">
        <is>
          <t>Developer API cùng origin /api/* — khác lớp xác thực (API key)</t>
        </is>
      </c>
      <c r="D25" s="34" t="n"/>
    </row>
    <row r="26">
      <c r="A26" s="37" t="inlineStr">
        <is>
          <t>[4]</t>
        </is>
      </c>
      <c r="B26" s="63" t="inlineStr">
        <is>
          <t>Dữ liệu</t>
        </is>
      </c>
      <c r="C26" s="4" t="inlineStr">
        <is>
          <t>Presigned PUT/PART từ client thẳng vào S3 input</t>
        </is>
      </c>
      <c r="D26" s="34" t="n"/>
    </row>
    <row r="27">
      <c r="A27" s="37" t="inlineStr">
        <is>
          <t>[5]</t>
        </is>
      </c>
      <c r="B27" s="63" t="inlineStr">
        <is>
          <t>Dữ liệu</t>
        </is>
      </c>
      <c r="C27" s="4" t="inlineStr">
        <is>
          <t>DynamoDB 4 bảng (users/projects/apikeys/videos) — nguồn sự thật metadata + state</t>
        </is>
      </c>
      <c r="D27" s="34" t="n"/>
    </row>
    <row r="28">
      <c r="A28" s="37" t="inlineStr">
        <is>
          <t>[6]</t>
        </is>
      </c>
      <c r="B28" s="63" t="inlineStr">
        <is>
          <t>Xử lý</t>
        </is>
      </c>
      <c r="C28" s="4" t="inlineStr">
        <is>
          <t>SQS jobs (+DLQ) nối API với worker, visibility 300s</t>
        </is>
      </c>
      <c r="D28" s="34" t="n"/>
    </row>
    <row r="29">
      <c r="A29" s="37" t="inlineStr">
        <is>
          <t>[7]</t>
        </is>
      </c>
      <c r="B29" s="63" t="inlineStr">
        <is>
          <t>Xử lý</t>
        </is>
      </c>
      <c r="C29" s="4" t="inlineStr">
        <is>
          <t>Worker Go + FFmpeg trên EC2 ASG (Spot) — decode một lần, 2 rendition</t>
        </is>
      </c>
      <c r="D29" s="34" t="n"/>
    </row>
    <row r="30">
      <c r="A30" s="37" t="inlineStr">
        <is>
          <t>[8]</t>
        </is>
      </c>
      <c r="B30" s="63" t="inlineStr">
        <is>
          <t>Dữ liệu</t>
        </is>
      </c>
      <c r="C30" s="4" t="inlineStr">
        <is>
          <t>S3 output {projectId}/{videoId}/hls + thumb, Content-Type đúng</t>
        </is>
      </c>
      <c r="D30" s="34" t="n"/>
    </row>
    <row r="31">
      <c r="A31" s="37" t="inlineStr">
        <is>
          <t>[9]</t>
        </is>
      </c>
      <c r="B31" s="63" t="inlineStr">
        <is>
          <t>Ngang</t>
        </is>
      </c>
      <c r="C31" s="4" t="inlineStr">
        <is>
          <t>Máy trạng thái UPLOADING→PENDING→PROCESSING→COMPLETED/FAILED_* (ghi có điều kiện)</t>
        </is>
      </c>
      <c r="D31" s="34" t="n"/>
    </row>
    <row r="32">
      <c r="A32" s="37" t="inlineStr">
        <is>
          <t>[10]</t>
        </is>
      </c>
      <c r="B32" s="63" t="inlineStr">
        <is>
          <t>Phân phối</t>
        </is>
      </c>
      <c r="C32" s="4" t="inlineStr">
        <is>
          <t>CloudFront /media/* + Function rewrite → HLS cho player và embed</t>
        </is>
      </c>
      <c r="D32" s="34" t="n"/>
    </row>
    <row r="33">
      <c r="A33" s="37" t="inlineStr">
        <is>
          <t>[11]</t>
        </is>
      </c>
      <c r="B33" s="63" t="inlineStr">
        <is>
          <t>Vận hành</t>
        </is>
      </c>
      <c r="C33" s="4" t="inlineStr">
        <is>
          <t>Đường deploy: build image → ECR → SSM image-tag → ASG rollover / GitHub Actions</t>
        </is>
      </c>
      <c r="D33" s="34" t="n"/>
    </row>
    <row r="34">
      <c r="A34" s="37" t="inlineStr">
        <is>
          <t>[12]</t>
        </is>
      </c>
      <c r="B34" s="63" t="inlineStr">
        <is>
          <t>Vận hành</t>
        </is>
      </c>
      <c r="C34" s="4" t="inlineStr">
        <is>
          <t>Nền vận hành: Docker/LocalStack local, EC2/SSM/Terraform trên AWS, không SSH</t>
        </is>
      </c>
      <c r="D34" s="34" t="n"/>
    </row>
    <row r="35">
      <c r="A35" s="37" t="inlineStr">
        <is>
          <t>[13]</t>
        </is>
      </c>
      <c r="B35" s="63" t="inlineStr">
        <is>
          <t>Quan sát</t>
        </is>
      </c>
      <c r="C35" s="4" t="inlineStr">
        <is>
          <t>CloudWatch Logs/Metrics/Dashboard/Alarm + Budgets</t>
        </is>
      </c>
      <c r="D35" s="34" t="n"/>
    </row>
    <row r="36">
      <c r="A36" s="37" t="inlineStr">
        <is>
          <t>[14]</t>
        </is>
      </c>
      <c r="B36" s="63" t="inlineStr">
        <is>
          <t>Co giãn</t>
        </is>
      </c>
      <c r="C36" s="4" t="inlineStr">
        <is>
          <t>ASG Target Tracking theo backlog, scale-in protection, Instance Refresh</t>
        </is>
      </c>
      <c r="D36" s="34" t="n"/>
    </row>
    <row r="37">
      <c r="A37" s="37" t="inlineStr">
        <is>
          <t>[15]</t>
        </is>
      </c>
      <c r="B37" s="63" t="inlineStr">
        <is>
          <t>Thực nghiệm</t>
        </is>
      </c>
      <c r="C37" s="4" t="inlineStr">
        <is>
          <t>k6 / dataset mẫu phục vụ benchmark và chaos</t>
        </is>
      </c>
      <c r="D37" s="34" t="n"/>
    </row>
    <row r="39">
      <c r="A39" s="3" t="inlineStr">
        <is>
          <t>NGUỒN TRONG REPO</t>
        </is>
      </c>
    </row>
    <row r="40">
      <c r="A40" s="6" t="inlineStr">
        <is>
          <t>docs/introduction/1. Timelines.md</t>
        </is>
      </c>
      <c r="B40" s="4" t="inlineStr">
        <is>
          <t>Nguồn chính: 16 epic, effort pd, chủ nhiệm, sprint, ưu tiên; phân vai; quyết định MVP; điểm đồng bộ; M0-M5; thứ tự cắt giảm; rủi ro kỹ thuật 8.1-8.5</t>
        </is>
      </c>
      <c r="C40" s="34" t="n"/>
      <c r="D40" s="34" t="n"/>
    </row>
    <row r="41">
      <c r="A41" s="6" t="inlineStr">
        <is>
          <t>docs/introduction/3. SRS highlevel.md</t>
        </is>
      </c>
      <c r="B41" s="4" t="inlineStr">
        <is>
          <t>Module chức năng A-H (§26), các tầng kiến trúc (§9.1), priority P0/P1/P2 và ma trận dịch vụ (§19), ràng buộc ⛔</t>
        </is>
      </c>
      <c r="C41" s="34" t="n"/>
      <c r="D41" s="34" t="n"/>
    </row>
    <row r="42">
      <c r="A42" s="6" t="inlineStr">
        <is>
          <t>docs/docs-common/1. Overall system.md</t>
        </is>
      </c>
      <c r="B42" s="4" t="inlineStr">
        <is>
          <t>Sơ đồ thành phần logical, luồng nghiệp vụ 8 bước, bảng local vs AWS, quyền sở hữu thư mục/repo, phạm vi MVP</t>
        </is>
      </c>
      <c r="C42" s="34" t="n"/>
      <c r="D42" s="34" t="n"/>
    </row>
    <row r="43">
      <c r="A43" s="6" t="inlineStr">
        <is>
          <t>docs/docs-common/2. Implementation status.md</t>
        </is>
      </c>
      <c r="B43" s="4" t="inlineStr">
        <is>
          <t>Trạng thái thật của từng thành phần trong repo (rà soát 21/10/2026) và Definition of Done kỹ thuật P0</t>
        </is>
      </c>
      <c r="C43" s="34" t="n"/>
      <c r="D43" s="34" t="n"/>
    </row>
    <row r="44">
      <c r="A44" s="6" t="inlineStr">
        <is>
          <t>docs/docs-common/3. Contracts and boundaries.md</t>
        </is>
      </c>
      <c r="B44" s="4" t="inlineStr">
        <is>
          <t>Bản đồ hợp đồng, ranh giới App/Cloud, bảng ai được ghi gì vào DynamoDB, quy trình đổi contract</t>
        </is>
      </c>
      <c r="C44" s="34" t="n"/>
      <c r="D44" s="34" t="n"/>
    </row>
    <row r="45">
      <c r="A45" s="6" t="inlineStr">
        <is>
          <t>docs/docs-common/4. Timelines.md</t>
        </is>
      </c>
      <c r="B45" s="4" t="inlineStr">
        <is>
          <t>Bốn sprint, bàn giao App↔Cloud, M0-M5 rút gọn, việc ngoài đường găng</t>
        </is>
      </c>
      <c r="C45" s="34" t="n"/>
      <c r="D45" s="34" t="n"/>
    </row>
    <row r="46">
      <c r="A46" s="6" t="inlineStr">
        <is>
          <t>docs/docs-common/5. Architecture decisions.md</t>
        </is>
      </c>
      <c r="B46" s="4" t="inlineStr">
        <is>
          <t>ADR 0001 - DynamoDB only (bối cảnh, quyết định, hệ quả)</t>
        </is>
      </c>
      <c r="C46" s="34" t="n"/>
      <c r="D46" s="34" t="n"/>
    </row>
    <row r="47">
      <c r="A47" s="6" t="inlineStr">
        <is>
          <t>docs/docs-cloud/2. Timelines.md</t>
        </is>
      </c>
      <c r="B47" s="4" t="inlineStr">
        <is>
          <t>Lịch theo sprint cho Lưu/Nguyên, checklist bằng chứng M0-M5, bảng effort C0-C6 và phân tích capacity</t>
        </is>
      </c>
      <c r="C47" s="34" t="n"/>
      <c r="D47" s="34" t="n"/>
    </row>
    <row r="48">
      <c r="A48" s="6" t="inlineStr">
        <is>
          <t>docs/docs-cloud/3. Designs.md</t>
        </is>
      </c>
      <c r="B48" s="4" t="inlineStr">
        <is>
          <t>Kiến trúc hạ tầng: mermaid tổng thể, tổ chức Terraform module, S3/DynamoDB/queue, IAM theo danh tính, CloudFront/Tunnel/HLS, compute &amp; Spot, quan sát, điểm cần chốt</t>
        </is>
      </c>
      <c r="C48" s="34" t="n"/>
      <c r="D48" s="34" t="n"/>
    </row>
    <row r="49">
      <c r="A49" s="6" t="inlineStr">
        <is>
          <t>docs/docs-cloud/4. Implement.md</t>
        </is>
      </c>
      <c r="B49" s="4" t="inlineStr">
        <is>
          <t>Runbook C0→M5: local, Dockerfile, kiểm thử, Terraform, deploy ECR/EC2/ASG, Tunnel, CloudFront, benchmark, rollback, thu dọn</t>
        </is>
      </c>
      <c r="C49" s="34" t="n"/>
      <c r="D49" s="34" t="n"/>
    </row>
    <row r="50">
      <c r="A50" s="6" t="inlineStr">
        <is>
          <t>docs/docs-worker/3. Architecture.md</t>
        </is>
      </c>
      <c r="B50" s="4" t="inlineStr">
        <is>
          <t>Kiến trúc worker: 9 package, 11 bước vòng job, ffprobe errorCodes, lệnh FFmpeg, Content-Type, env, IAM, SIGTERM, observability, test</t>
        </is>
      </c>
      <c r="C50" s="34" t="n"/>
      <c r="D50" s="34" t="n"/>
    </row>
    <row r="51">
      <c r="A51" s="6" t="inlineStr">
        <is>
          <t>docs/docs-worker/4. Timelines.md</t>
        </is>
      </c>
      <c r="B51" s="4" t="inlineStr">
        <is>
          <t>Kế hoạch A4/A5 theo tuần cho Vũ, rủi ro và cách giảm phạm vi</t>
        </is>
      </c>
      <c r="C51" s="34" t="n"/>
      <c r="D51" s="34" t="n"/>
    </row>
    <row r="52">
      <c r="A52" s="6" t="inlineStr">
        <is>
          <t>docs/docs-worker/work/Week1.md</t>
        </is>
      </c>
      <c r="B52" s="4" t="inlineStr">
        <is>
          <t>Bằng chứng hoàn thành A1/A4 (POC FFmpeg, COMPLETED trên LocalStack, unit test) và ước lượng lại A4 còn ~1,0 pd / A5 ~1,5 pd; bàn giao 6.1; sự cố local 6.2</t>
        </is>
      </c>
      <c r="C52" s="34" t="n"/>
      <c r="D52" s="34" t="n"/>
    </row>
    <row r="53">
      <c r="A53" s="6" t="inlineStr">
        <is>
          <t>docs/docs-frontend/2. Timelines.md</t>
        </is>
      </c>
      <c r="B53" s="4" t="inlineStr">
        <is>
          <t>Bóc A6 thành F1-F5 kèm pd (0,5/0,5/0,5/0,25/0,25) và mốc liên quan</t>
        </is>
      </c>
      <c r="C53" s="34" t="n"/>
      <c r="D53" s="34" t="n"/>
    </row>
    <row r="54">
      <c r="A54" s="6" t="inlineStr">
        <is>
          <t>docs/docs-frontend/work/Week1.md</t>
        </is>
      </c>
      <c r="B54" s="4" t="inlineStr">
        <is>
          <t>Chế độ phát triển độc lập trên mock (MSW), nội dung F1.1-F3.3, kế hoạch hợp nhất tuần 9, rủi ro mock drift</t>
        </is>
      </c>
      <c r="C54" s="34" t="n"/>
      <c r="D54" s="34" t="n"/>
    </row>
    <row r="55">
      <c r="A55" s="6" t="inlineStr">
        <is>
          <t>docs/report/Progress 2.md</t>
        </is>
      </c>
      <c r="B55" s="4" t="inlineStr">
        <is>
          <t>Kiến trúc tính năng lớp SaaS và Developer Platform, bản đồ tính năng → kiến trúc, kiến trúc chức năng A-H theo 5 tầng, lõi xử lý dùng chung</t>
        </is>
      </c>
      <c r="C55" s="34" t="n"/>
      <c r="D55" s="34" t="n"/>
    </row>
    <row r="56">
      <c r="A56" s="6" t="inlineStr">
        <is>
          <t>docs/contracts/*</t>
        </is>
      </c>
      <c r="B56" s="4" t="inlineStr">
        <is>
          <t>openapi.yaml, sqs-job-message.schema.json, video-state-machine.md, dynamodb-tables.md, s3-key-convention.md, upload-limits.md</t>
        </is>
      </c>
      <c r="C56" s="34" t="n"/>
      <c r="D56" s="34" t="n"/>
    </row>
    <row r="57">
      <c r="A57" s="6" t="inlineStr">
        <is>
          <t>README.md (repo)</t>
        </is>
      </c>
      <c r="B57" s="4" t="inlineStr">
        <is>
          <t>Sơ đồ luồng ngắn, bảng phân quyền sở hữu thư mục và chủ nhiệm, 5 nguyên tắc làm việc</t>
        </is>
      </c>
      <c r="C57" s="34" t="n"/>
      <c r="D57" s="34" t="n"/>
    </row>
    <row r="58">
      <c r="A58" s="6" t="inlineStr">
        <is>
          <t>docs/report/Progress 2.md §3.1–3.3 (bản 11 dòng, tổng 32 pd)</t>
        </is>
      </c>
      <c r="B58" s="4" t="inlineStr">
        <is>
          <t>Bản kế hoạch trước, được thay bằng bảng A01–A13 tổng 36 pd. Workbook này theo bản mới; mục 3 của file báo cáo chưa cập nhật — cần sửa cho khớp.</t>
        </is>
      </c>
      <c r="C58" s="34" t="n"/>
      <c r="D58" s="34" t="n"/>
    </row>
    <row r="60">
      <c r="A60" s="3" t="inlineStr">
        <is>
          <t>GIẢ ĐỊNH VÀ CÁCH TÍNH</t>
        </is>
      </c>
    </row>
    <row r="61" ht="30" customHeight="1">
      <c r="A61" s="61" t="inlineStr">
        <is>
          <t>• Số effort, sprint, ưu tiên, người phụ trách lấy nguyên từ bảng 3.2 bản sửa ngày 27/10 (kế hoạch A01–A13, tổng 36 pd).</t>
        </is>
      </c>
    </row>
    <row r="62" ht="30" customHeight="1">
      <c r="A62" s="61" t="inlineStr">
        <is>
          <t>• Phân bổ theo sprint (sheet 'Cơ sở kế hoạch') là giả định chia đều cho các sprint mà hạng mục trải qua; A13 chia 0,8 pd mỗi sprint + tuần dự phòng. Tài liệu gốc chỉ nêu tải sprint ở mức quy đổi 32 pd.</t>
        </is>
      </c>
    </row>
    <row r="63" ht="30" customHeight="1">
      <c r="A63" s="61" t="inlineStr">
        <is>
          <t>• 'Cả nhóm' trong cột Người chịu trách nhiệm được chia đều 4 người (A01: 0,5 pd/người; A13: 1,0 pd/người).</t>
        </is>
      </c>
    </row>
    <row r="64" ht="30" customHeight="1">
      <c r="A64" s="61" t="inlineStr">
        <is>
          <t>• Capacity 40 pd = 4 người × 2,5 ngày/tuần × 4 tuần; sprint 1–4 mỗi sprint 10 pd; tuần dự phòng lấy 12 pd làm mốc so sánh.</t>
        </is>
      </c>
    </row>
    <row r="65" ht="30" customHeight="1">
      <c r="A65" s="61" t="inlineStr">
        <is>
          <t>• Nhiệm vụ chi tiết ở dòng TASK kế thừa từ bảng epic cũ (A1–A8, C0–C6, R1) và được đánh số lại dưới A01–A13: A1→A01, A2→A02, A3+A5.5→A03, A4+A5→A04, A6→A05, C2→A06, C0→A07, C1→A08, C3+C4→A09, A8.1–8.2→A10, A8.3–8.5+C5→A11, R1→A13; A7→P1-1, C6→P1-2.</t>
        </is>
      </c>
    </row>
    <row r="66" ht="30" customHeight="1">
      <c r="A66" s="61" t="inlineStr">
        <is>
          <t>• Trạng thái (✅/⭕/❌) lấy theo bằng chứng ghi trong docs-worker/work/Week1.md, docs-frontend/work/Week1.md và kết quả rà repo ngày 27/10 — không đánh dấu xong chỉ vì tới hạn.</t>
        </is>
      </c>
    </row>
    <row r="67" ht="30" customHeight="1">
      <c r="A67" s="61" t="inlineStr">
        <is>
          <t>• Phạm vi: chỉ các hạng mục có trong tài liệu repo (16 epic A1-A8, C0-C6, R1). Không thêm việc ngoài tài liệu.</t>
        </is>
      </c>
    </row>
    <row r="68" ht="30" customHeight="1">
      <c r="A68" s="61" t="inlineStr">
        <is>
          <t>• Effort baseline lấy từ Bảng epic mục 3 của timeline v4; các con số này là baseline TOÀN BỘ công việc, không phải khối lượng còn lại, và không phải cam kết khả thi trong thời gian còn lại.</t>
        </is>
      </c>
    </row>
    <row r="69" ht="30" customHeight="1">
      <c r="A69" s="61" t="inlineStr">
        <is>
          <t>• Cột 'Còn lại (pd)' chỉ điền khi tài liệu trong repo nêu con số: A4 ~1,0 pd và A5 ~1,5 pd (docs-worker/work/Week1.md §6.3), A5.5 0,5 pd (Phương), A6 theo F1-F5 (docs-frontend/2), C4.5 0,5 pd (Lưu).</t>
        </is>
      </c>
    </row>
    <row r="70" ht="30" customHeight="1">
      <c r="A70" s="61" t="inlineStr">
        <is>
          <t>• Trạng thái lấy theo bằng chứng: docs-common/2 (rà 21/10/2026) đối chiếu lại với repo ngày 27/10/2026 (worker/ đã có 1.427 dòng Go; backend/, frontend/, infra/terraform vẫn chưa có source/.tf; không có Dockerfile).</t>
        </is>
      </c>
    </row>
    <row r="71" ht="30" customHeight="1">
      <c r="A71" s="61" t="inlineStr">
        <is>
          <t>• Quy tắc của nhóm được tôn trọng: 'Không coi các mốc đã qua là đã hoàn thành nếu chưa có bằng chứng' - vì vậy một số mục tài liệu work/ ghi đã xong nhưng vẫn để ⭕ khi hợp đồng còn nhãn DRAFT.</t>
        </is>
      </c>
    </row>
    <row r="72" ht="30" customHeight="1">
      <c r="A72" s="61" t="inlineStr">
        <is>
          <t>• Người chịu trách nhiệm: 'Phụ trách' là chủ nhiệm epic theo mục 1 phân vai; 'Phối hợp' ghi các bên liên quan theo bảng điểm đồng bộ mục 6.</t>
        </is>
      </c>
    </row>
    <row r="73" ht="30" customHeight="1">
      <c r="A73" s="61" t="inlineStr">
        <is>
          <t>• Tổng P0 theo bảng v4 = 34,0 pd; P1 (A7 + C6) = 8,5 pd. Báo cáo gốc ghi baseline P0+P1 = 43,0 pd (khác do đã chuyển phần Docker A01→C0 và deploy EC2 A05→C3).</t>
        </is>
      </c>
    </row>
    <row r="75">
      <c r="A75" s="2" t="inlineStr">
        <is>
          <t>Workbook tạo từ repo TransVidCloud (nhánh worker, ngày 27/10/2026). Công thức chỉ dùng SUMIFS/COUNTIF/SUM nên mở được trên Excel, LibreOffice và Google Sheets.</t>
        </is>
      </c>
    </row>
    <row r="76"/>
  </sheetData>
  <mergeCells count="68">
    <mergeCell ref="B11:D11"/>
    <mergeCell ref="C34:D34"/>
    <mergeCell ref="B42:D42"/>
    <mergeCell ref="B14:D14"/>
    <mergeCell ref="C24:D24"/>
    <mergeCell ref="C30:D30"/>
    <mergeCell ref="C33:D33"/>
    <mergeCell ref="B57:D57"/>
    <mergeCell ref="B8:D8"/>
    <mergeCell ref="A62:D62"/>
    <mergeCell ref="A72:D72"/>
    <mergeCell ref="B13:D13"/>
    <mergeCell ref="B44:D44"/>
    <mergeCell ref="B53:D53"/>
    <mergeCell ref="A63:D63"/>
    <mergeCell ref="C26:D26"/>
    <mergeCell ref="A68:D68"/>
    <mergeCell ref="C35:D35"/>
    <mergeCell ref="A75:D76"/>
    <mergeCell ref="B10:D10"/>
    <mergeCell ref="A67:D67"/>
    <mergeCell ref="C29:D29"/>
    <mergeCell ref="C25:D25"/>
    <mergeCell ref="B49:D49"/>
    <mergeCell ref="A39:D39"/>
    <mergeCell ref="B40:D40"/>
    <mergeCell ref="B9:D9"/>
    <mergeCell ref="A64:D64"/>
    <mergeCell ref="C22:D22"/>
    <mergeCell ref="A73:D73"/>
    <mergeCell ref="B15:D15"/>
    <mergeCell ref="C31:D31"/>
    <mergeCell ref="B55:D55"/>
    <mergeCell ref="B6:D6"/>
    <mergeCell ref="A60:D60"/>
    <mergeCell ref="B51:D51"/>
    <mergeCell ref="A1:D1"/>
    <mergeCell ref="A70:D70"/>
    <mergeCell ref="B5:D5"/>
    <mergeCell ref="A61:D61"/>
    <mergeCell ref="B45:D45"/>
    <mergeCell ref="A69:D69"/>
    <mergeCell ref="B41:D41"/>
    <mergeCell ref="C27:D27"/>
    <mergeCell ref="B4:D4"/>
    <mergeCell ref="B50:D50"/>
    <mergeCell ref="C36:D36"/>
    <mergeCell ref="A65:D65"/>
    <mergeCell ref="B7:D7"/>
    <mergeCell ref="C23:D23"/>
    <mergeCell ref="A19:D20"/>
    <mergeCell ref="B47:D47"/>
    <mergeCell ref="B16:D16"/>
    <mergeCell ref="B54:D54"/>
    <mergeCell ref="A66:D66"/>
    <mergeCell ref="A18:D18"/>
    <mergeCell ref="C32:D32"/>
    <mergeCell ref="B46:D46"/>
    <mergeCell ref="A3:D3"/>
    <mergeCell ref="C37:D37"/>
    <mergeCell ref="B56:D56"/>
    <mergeCell ref="C28:D28"/>
    <mergeCell ref="B58:D58"/>
    <mergeCell ref="B52:D52"/>
    <mergeCell ref="A71:D71"/>
    <mergeCell ref="B43:D43"/>
    <mergeCell ref="B12:D12"/>
    <mergeCell ref="B48:D48"/>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2026-10-27T16:43:25Z</dcterms:created>
  <dcterms:modified xsi:type="dcterms:W3CDTF">2026-10-27T16:43:26Z</dcterms:modified>
</cp:coreProperties>
</file>